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 Claros\Desktop\"/>
    </mc:Choice>
  </mc:AlternateContent>
  <xr:revisionPtr revIDLastSave="0" documentId="13_ncr:1_{8F03EF20-9DAE-43F4-8F09-04C70982DA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PIA" sheetId="10" r:id="rId1"/>
    <sheet name="HOJA DE PEDIDO ACES" sheetId="4" r:id="rId2"/>
    <sheet name="datos DIST" sheetId="8" state="hidden" r:id="rId3"/>
  </sheets>
  <definedNames>
    <definedName name="_xlnm._FilterDatabase" localSheetId="1" hidden="1">'HOJA DE PEDIDO ACES'!$A$18:$I$70</definedName>
    <definedName name="_xlnm.Print_Area" localSheetId="1">'HOJA DE PEDIDO ACES'!$A$1:$I$68</definedName>
    <definedName name="CIUDAD">#REF!</definedName>
    <definedName name="CLIENTE">#REF!</definedName>
    <definedName name="RAZON">#REF!</definedName>
    <definedName name="TIPO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4" l="1"/>
  <c r="I50" i="4"/>
  <c r="I59" i="4"/>
  <c r="I43" i="4"/>
  <c r="I62" i="4"/>
  <c r="I42" i="4"/>
  <c r="K49" i="4"/>
  <c r="K41" i="4"/>
  <c r="K26" i="4"/>
  <c r="K19" i="4"/>
  <c r="K20" i="4"/>
  <c r="K21" i="4"/>
  <c r="K22" i="4"/>
  <c r="K23" i="4"/>
  <c r="K24" i="4"/>
  <c r="K25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2" i="4"/>
  <c r="K43" i="4"/>
  <c r="K44" i="4"/>
  <c r="K45" i="4"/>
  <c r="K46" i="4"/>
  <c r="K47" i="4"/>
  <c r="K48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7" i="4"/>
  <c r="K66" i="4"/>
  <c r="I58" i="4"/>
  <c r="I26" i="4"/>
  <c r="I49" i="4"/>
  <c r="H70" i="4"/>
  <c r="I67" i="4"/>
  <c r="I66" i="4"/>
  <c r="I65" i="4"/>
  <c r="I64" i="4"/>
  <c r="I63" i="4"/>
  <c r="I61" i="4"/>
  <c r="I60" i="4"/>
  <c r="I57" i="4"/>
  <c r="I56" i="4"/>
  <c r="I55" i="4"/>
  <c r="I54" i="4"/>
  <c r="I53" i="4"/>
  <c r="I52" i="4"/>
  <c r="I51" i="4"/>
  <c r="I48" i="4"/>
  <c r="I47" i="4"/>
  <c r="I45" i="4"/>
  <c r="I44" i="4"/>
  <c r="I41" i="4"/>
  <c r="I40" i="4"/>
  <c r="I39" i="4"/>
  <c r="I38" i="4"/>
  <c r="I37" i="4"/>
  <c r="I36" i="4"/>
  <c r="I35" i="4"/>
  <c r="I34" i="4"/>
  <c r="I33" i="4"/>
  <c r="I32" i="4"/>
  <c r="I31" i="4"/>
  <c r="I30" i="4"/>
  <c r="I28" i="4"/>
  <c r="I27" i="4"/>
  <c r="I25" i="4"/>
  <c r="I24" i="4"/>
  <c r="I23" i="4"/>
  <c r="I22" i="4"/>
  <c r="I21" i="4"/>
  <c r="I20" i="4"/>
  <c r="I19" i="4"/>
  <c r="K70" i="4" l="1"/>
  <c r="I73" i="4" s="1"/>
  <c r="I70" i="4"/>
  <c r="I72" i="4" l="1"/>
  <c r="H72" i="4" s="1"/>
  <c r="I75" i="4"/>
</calcChain>
</file>

<file path=xl/sharedStrings.xml><?xml version="1.0" encoding="utf-8"?>
<sst xmlns="http://schemas.openxmlformats.org/spreadsheetml/2006/main" count="349" uniqueCount="283">
  <si>
    <t>SOLICITUD DE PEDIDO FARMACIA</t>
  </si>
  <si>
    <t xml:space="preserve"> </t>
  </si>
  <si>
    <t>DATOS PARA ENVÍO</t>
  </si>
  <si>
    <t>Programación de entrega JUEVES  11/12 POR LA MAÑANA</t>
  </si>
  <si>
    <t>N° PEDIDO</t>
  </si>
  <si>
    <t>L036</t>
  </si>
  <si>
    <t xml:space="preserve">TIPO </t>
  </si>
  <si>
    <t>FARMACIA</t>
  </si>
  <si>
    <t>CLIENTE</t>
  </si>
  <si>
    <t>FARMACIA CIELO AZUL</t>
  </si>
  <si>
    <t>RAZON</t>
  </si>
  <si>
    <t>NIT</t>
  </si>
  <si>
    <t>CIUDAD</t>
  </si>
  <si>
    <t>LA PAZ</t>
  </si>
  <si>
    <t>TELEFONO REF</t>
  </si>
  <si>
    <t>OBSERVACION</t>
  </si>
  <si>
    <t>FORMA DE PAGO</t>
  </si>
  <si>
    <t>CONTADO</t>
  </si>
  <si>
    <t>FARMACIAS</t>
  </si>
  <si>
    <t>ITEM</t>
  </si>
  <si>
    <t xml:space="preserve">CODIGO </t>
  </si>
  <si>
    <t xml:space="preserve">MARCA </t>
  </si>
  <si>
    <t>DESCRIPCION</t>
  </si>
  <si>
    <t>PRINCIPIO ACTIVO</t>
  </si>
  <si>
    <t>PRESENTACION</t>
  </si>
  <si>
    <t>P.LISTA  SEPT  25</t>
  </si>
  <si>
    <t>Cantidad</t>
  </si>
  <si>
    <t>Valor del pedido Bs.</t>
  </si>
  <si>
    <t>PRECIO NEG</t>
  </si>
  <si>
    <t>VALOR NETO</t>
  </si>
  <si>
    <t>LOTE</t>
  </si>
  <si>
    <t>ACTIZIM SUSP.</t>
  </si>
  <si>
    <t>ACTIZIM PVO P/SUSP X 50 ML  BOL</t>
  </si>
  <si>
    <t>Azitromicina  200 mg /5ml</t>
  </si>
  <si>
    <t>CAJA X 1 FCO. CON PVO P/RECONST 50ML</t>
  </si>
  <si>
    <t>055490</t>
  </si>
  <si>
    <t xml:space="preserve">ACTIZIM  </t>
  </si>
  <si>
    <t>ACTIZIM CAJA X 6 COMP REC BOL</t>
  </si>
  <si>
    <t xml:space="preserve">Azitromicina  500 mg </t>
  </si>
  <si>
    <t>CAJA X 6 COMPRIMIDOS RECUBIERTOS</t>
  </si>
  <si>
    <t>055368</t>
  </si>
  <si>
    <t xml:space="preserve">AGUDOL </t>
  </si>
  <si>
    <t>AGUDOL X 30 COMP REC BOL</t>
  </si>
  <si>
    <t>Tramadol Clorhidrato 37,5 mg + Paracetamol 325 mg</t>
  </si>
  <si>
    <t>CAJA X 30 COMPRIMIDOS RECUBIERTOS</t>
  </si>
  <si>
    <t>055599</t>
  </si>
  <si>
    <t xml:space="preserve">ALERCROM </t>
  </si>
  <si>
    <t>ALERCROM CJA X 10 COMP BOL</t>
  </si>
  <si>
    <t>Loratadina 10 mg</t>
  </si>
  <si>
    <t>CAJA X 10 COMPRIMIDOS</t>
  </si>
  <si>
    <t>055469</t>
  </si>
  <si>
    <t xml:space="preserve">ALGIOFLEX </t>
  </si>
  <si>
    <t>ALGIOFLEX 15 MG X 10 COMP BOL</t>
  </si>
  <si>
    <t>Meloxicam 15 mg</t>
  </si>
  <si>
    <t>055587</t>
  </si>
  <si>
    <t>ALGIOFLEX  RELAX</t>
  </si>
  <si>
    <t>ALGIOFLEX RELAX X 20 COMP BOL</t>
  </si>
  <si>
    <t>Meloxicam 15 mg + Pridinol Mesilato 4 mg</t>
  </si>
  <si>
    <t>CAJA X 20 COMPRIMIDOS RANURADOS</t>
  </si>
  <si>
    <t>055600</t>
  </si>
  <si>
    <t>AVIR 400</t>
  </si>
  <si>
    <t>AVIR 400 CAJA X 20 COMP BOL</t>
  </si>
  <si>
    <t>Aciclovir 400 mg</t>
  </si>
  <si>
    <t>CAJA X 20 COMPRIMIDOS</t>
  </si>
  <si>
    <t>AVIR 800</t>
  </si>
  <si>
    <t>AVIR 800 X 30 COMP BOL</t>
  </si>
  <si>
    <t>Aciclovir 800 mg</t>
  </si>
  <si>
    <t>CAJA X 30 COMPRIMIDOS</t>
  </si>
  <si>
    <t>055395</t>
  </si>
  <si>
    <t xml:space="preserve">BIO CEFALIN  </t>
  </si>
  <si>
    <t>BIO CEFALIN 1 PVO EST P/ SOL INY+SOL  BOL</t>
  </si>
  <si>
    <t>Cefotaxima 1 gr.</t>
  </si>
  <si>
    <t>CAJA X 1 FCO. AMPOLLA + SOLVENTE DE 5ML</t>
  </si>
  <si>
    <t>BIOTEXIN 40</t>
  </si>
  <si>
    <t>Enoxaparina Sódica 40 mg</t>
  </si>
  <si>
    <t>CAJA X 1 JGA PRELLENADA C/ DISPOSITIVO SEG.</t>
  </si>
  <si>
    <t>BIOTEXIN 60</t>
  </si>
  <si>
    <t>Enoxaparina Sódica 60 mg</t>
  </si>
  <si>
    <t>055670</t>
  </si>
  <si>
    <t>BRONCOFIX A</t>
  </si>
  <si>
    <t>BRONCOFIX A SUSPENSION X 100 ML BOL</t>
  </si>
  <si>
    <t>Ambroxol Clorhidrato 15 mg/ 5 ml</t>
  </si>
  <si>
    <t>CAJA X1 FCO. X 100ML.</t>
  </si>
  <si>
    <t>055582</t>
  </si>
  <si>
    <t>CARDICAP 12,5</t>
  </si>
  <si>
    <t>CARDICAP 12.5 MG CAJA X 30 COMP BOL</t>
  </si>
  <si>
    <t>Carvedilol 12,5 mg</t>
  </si>
  <si>
    <t xml:space="preserve">CAJA  X 30 COMPRIMIDOS </t>
  </si>
  <si>
    <t>055583</t>
  </si>
  <si>
    <t>CARDICAP 6,25</t>
  </si>
  <si>
    <t>CARDICAP 6.25 MG CAJA X 30 COMP BOL</t>
  </si>
  <si>
    <t>Carvedilol 6,25 mg</t>
  </si>
  <si>
    <t>055378</t>
  </si>
  <si>
    <t>CLANZOL  INY.</t>
  </si>
  <si>
    <t>CLANZOL LIOF + SOLV.  BOL</t>
  </si>
  <si>
    <t>Omeprazol 40 mg</t>
  </si>
  <si>
    <t>CAJA X 1  FCO. AMPOLLA + SOLV. DE 10 ML</t>
  </si>
  <si>
    <t>055379</t>
  </si>
  <si>
    <t>CLANZOL 20 MG</t>
  </si>
  <si>
    <t>CLANZOL 20 MG X 30 CAP  BOL</t>
  </si>
  <si>
    <t>Omeprazol 20 mg</t>
  </si>
  <si>
    <t>CAJA X 30 CÁPSULAS</t>
  </si>
  <si>
    <t>055047</t>
  </si>
  <si>
    <t>DOLOSTOP 20</t>
  </si>
  <si>
    <t>DOLOSTOP 20MG X 10 COMP REC   BOL</t>
  </si>
  <si>
    <t>Ketorolaco Trometamina 20 mg</t>
  </si>
  <si>
    <t>055040</t>
  </si>
  <si>
    <t xml:space="preserve">DOLOSTOP 60 </t>
  </si>
  <si>
    <t>DOLOSTOP 60MG/2ML SOL. INY. X 1 AMP BOL</t>
  </si>
  <si>
    <t>Ketorolaco Trometamina 60 mg/ 2 ml</t>
  </si>
  <si>
    <t>CAJA X 1 AMPOLLA DE 2 ML</t>
  </si>
  <si>
    <t>055470</t>
  </si>
  <si>
    <t xml:space="preserve">DOLOSTOP SL 20 </t>
  </si>
  <si>
    <t>DOLOSTOP SL 20 X 20 COMP SUBLINGUAL BOL</t>
  </si>
  <si>
    <t>CAJA X 20 COMPRIMIDOS SUBLINGUALES</t>
  </si>
  <si>
    <t>055394</t>
  </si>
  <si>
    <t xml:space="preserve">DOLOSTOP SL 30  </t>
  </si>
  <si>
    <t>DOLOSTOP SL 30 X 10 COMP SUBLINGUAL  BOL</t>
  </si>
  <si>
    <t>Ketorolaco Trometamina 30 mg</t>
  </si>
  <si>
    <t>CAJA X 10 COMPRIMIDOS SUBLINGUALES</t>
  </si>
  <si>
    <t>055580</t>
  </si>
  <si>
    <t xml:space="preserve">ESOMEP 20 </t>
  </si>
  <si>
    <t>ESOMEP 20 X 30 COMP REC BOL</t>
  </si>
  <si>
    <t>Esomeprazol 20 mg</t>
  </si>
  <si>
    <t>LARGO VENCIMIENTO</t>
  </si>
  <si>
    <t>055581</t>
  </si>
  <si>
    <t xml:space="preserve">ESOMEP 40 </t>
  </si>
  <si>
    <t>ESOMEP 40 X 30 COMP REC BOL</t>
  </si>
  <si>
    <t>Esomeprazol 40 mg</t>
  </si>
  <si>
    <t>GLIFOZINA</t>
  </si>
  <si>
    <t xml:space="preserve">DAPAGLIFLOZINA 10 MG X 30 COMP REC BOL </t>
  </si>
  <si>
    <t>Dapagliflozina 10 mg</t>
  </si>
  <si>
    <t xml:space="preserve">CAJA X 30 COMPRIMIDOS RECUBIERTOS </t>
  </si>
  <si>
    <t>055492</t>
  </si>
  <si>
    <t xml:space="preserve">K-DOL  600 </t>
  </si>
  <si>
    <t>K-DOL 600 MG CR X 10  BOL</t>
  </si>
  <si>
    <t>Ibuprofeno 600 mg</t>
  </si>
  <si>
    <t xml:space="preserve">CAJA X 10 COMPRIMIDOS RECUBIERTOS </t>
  </si>
  <si>
    <t>055669</t>
  </si>
  <si>
    <t>K-DOL 200 PEDIATRICO</t>
  </si>
  <si>
    <t>K-DOL 200 SUSP PEDIAT.  X 100 ML BOL</t>
  </si>
  <si>
    <t>Ibuprofeno 200 mg/ 5 ml</t>
  </si>
  <si>
    <t>CAJA X 1 FCO. X 100 ML</t>
  </si>
  <si>
    <t>055491</t>
  </si>
  <si>
    <t xml:space="preserve">K-DOL FORTE </t>
  </si>
  <si>
    <t>K-DOL FORTE 400 MG CR X 20  BOL</t>
  </si>
  <si>
    <t>Ibuprofeno 400 mg</t>
  </si>
  <si>
    <t>CAJA X 20 COMPRIMIDOS RECUBIERTOS</t>
  </si>
  <si>
    <t>K-DOL GEL</t>
  </si>
  <si>
    <t>K-DOL GEL X 50 GR  BOL</t>
  </si>
  <si>
    <t>Ibuprofeno 5 gr/100 gr</t>
  </si>
  <si>
    <t>CAJA X 1 POMO X 50 GR GEL</t>
  </si>
  <si>
    <t>055604</t>
  </si>
  <si>
    <t xml:space="preserve">K-DOL PLUS </t>
  </si>
  <si>
    <t>K-DOL PLUS SUSP X 100 ML BOL</t>
  </si>
  <si>
    <t>Ibuprofeno 300 mg + Paracetamol 300 mg  en 10 ml</t>
  </si>
  <si>
    <t>K-DOL RAPID 600 CB</t>
  </si>
  <si>
    <t>K-DOL RAPID 600 CAJA X10 CB BOL</t>
  </si>
  <si>
    <t>CAJA X 10 CÁPSULAS BLANDAS</t>
  </si>
  <si>
    <t>KETOPROLAS</t>
  </si>
  <si>
    <t>KETOPROLAS LIOF + SOLV BOL</t>
  </si>
  <si>
    <t>Ketoprofeno 100 mg</t>
  </si>
  <si>
    <t>CAJA X 1  FCO. AMPOLLA + SOLV. DE 5 ML</t>
  </si>
  <si>
    <t>055092</t>
  </si>
  <si>
    <t>LAGRIMAS ARTIFICIALES LASCA</t>
  </si>
  <si>
    <t>LAGRIMAS ARTIFICIALES LASCA GTS OFTALMICA 10ML BOL</t>
  </si>
  <si>
    <t>Cloruro de Sodio 7 mg + Polivinilpirrolidona 15 mg / en 1 ml</t>
  </si>
  <si>
    <t xml:space="preserve">CAJA X 1 FCO. GOTERO X  10 ML </t>
  </si>
  <si>
    <t>055597</t>
  </si>
  <si>
    <t>LEVOMIN 50</t>
  </si>
  <si>
    <t>LEVOMIN 50 MG X 20 COMP. REC. BOL</t>
  </si>
  <si>
    <t xml:space="preserve">Diclofenaco Sódico 50 mg </t>
  </si>
  <si>
    <t>CAJA X 20 COMPRIMIDOS RECUBIERTOS GASTRORRESISTENTES</t>
  </si>
  <si>
    <t>055468</t>
  </si>
  <si>
    <t>LEVOMIN 75 MG</t>
  </si>
  <si>
    <t>LEVOMIN 75 MG X 3 AMP BOL</t>
  </si>
  <si>
    <t xml:space="preserve">Diclofenac Sódico 75 mg </t>
  </si>
  <si>
    <t>CAJA X 3 AMPOLLAS X 3 ML</t>
  </si>
  <si>
    <t>055305</t>
  </si>
  <si>
    <t>LEVOMIN GESIC</t>
  </si>
  <si>
    <t>LEVOMIN GESIC X 20 COMP REC  BOL</t>
  </si>
  <si>
    <t>Diclofenaco Sódico 50 mg + Paracetamol 500 mg</t>
  </si>
  <si>
    <t xml:space="preserve"> CAJA X 20 COMPRIMIDOS RECUBIERTOS</t>
  </si>
  <si>
    <t>055365</t>
  </si>
  <si>
    <t xml:space="preserve">LUKADIN  </t>
  </si>
  <si>
    <t>LUKADIN SOL. ESTERIL GTS OFTAL. 10 ML  BOL</t>
  </si>
  <si>
    <t>Ciprofloxacina 3mg / 1ml</t>
  </si>
  <si>
    <t>CAJAX 1 FCO. GOTERO X  10 ML</t>
  </si>
  <si>
    <t>055586</t>
  </si>
  <si>
    <t>MARSIN 150</t>
  </si>
  <si>
    <t>MARSIN 150 MG X 2 CAP BOL</t>
  </si>
  <si>
    <t>Flluconazol 150 mg</t>
  </si>
  <si>
    <t>CAJA X 2 CÁPSULAS</t>
  </si>
  <si>
    <t>055072</t>
  </si>
  <si>
    <t>OCULISON ANTIALERGICO</t>
  </si>
  <si>
    <t>OCULISON ANTIALÉRGICO GOTAS OFTÁLMICAS X 10 ML</t>
  </si>
  <si>
    <t xml:space="preserve">Antazolina Fosfato 0,5 mg /ml + Tetrazolina HCl 0,4 mg/ 1 ml </t>
  </si>
  <si>
    <t>CAJA X 1 FCO. X 10 ML</t>
  </si>
  <si>
    <t>ONDATRON 8</t>
  </si>
  <si>
    <t>ONDATRON 8 MG X 1 SOL. AMPOLLA BOL</t>
  </si>
  <si>
    <t>Ondansetron  8 mg / 4 ml</t>
  </si>
  <si>
    <t>CAJA X 1 AMPOLLA DE 4 ML</t>
  </si>
  <si>
    <t>PREDNICETATO</t>
  </si>
  <si>
    <t>PREDNICETATO SUSP. OFTALMICA X 5ML</t>
  </si>
  <si>
    <t xml:space="preserve">Prednisolona Acetato 10 mg /ml </t>
  </si>
  <si>
    <t>CAJAX 1 FCO. GOTERO X  5 ML</t>
  </si>
  <si>
    <t>055665</t>
  </si>
  <si>
    <t>PREXIN</t>
  </si>
  <si>
    <t>PREXIN CJA X 30 COMP REC BOL</t>
  </si>
  <si>
    <t xml:space="preserve">Losartan Potásico 50 mg  </t>
  </si>
  <si>
    <t>CORTO VENCIMIENTO</t>
  </si>
  <si>
    <t>055668</t>
  </si>
  <si>
    <t>PREXIN D</t>
  </si>
  <si>
    <t>PREXIN D  X 30 COMP. REC. BOL</t>
  </si>
  <si>
    <t>Losartan Potásico 50 mg + Hidroclorotiazida 12,5 mg</t>
  </si>
  <si>
    <t>PROSTAR 0,4</t>
  </si>
  <si>
    <t>PROSTAR 0.4 MG CAJA X 30 CAP BOL</t>
  </si>
  <si>
    <t>Tamsulosina clorhidrato 0,40 mg</t>
  </si>
  <si>
    <t>CAJA X 30 CÁPSULAS DE LIBERACION CONTROLADA</t>
  </si>
  <si>
    <t>055415</t>
  </si>
  <si>
    <t xml:space="preserve">SELENE  </t>
  </si>
  <si>
    <t>SELENE INY X 1 ML X 1 AMP BOL</t>
  </si>
  <si>
    <t>Acetofenido de Dihidroxiprogesterona 150 mg + Enantato de Estradiol 10 mg / ml</t>
  </si>
  <si>
    <t>CAJA X 1 AMPOLLA DE 1 ML</t>
  </si>
  <si>
    <t>055588</t>
  </si>
  <si>
    <t xml:space="preserve">SOLAX </t>
  </si>
  <si>
    <t>SOLAX INY CJA X 5 AMP 2ML BOL</t>
  </si>
  <si>
    <t xml:space="preserve">Furosemida 10mg /1 ml </t>
  </si>
  <si>
    <t>CAJA X 5 AMPOLLAS DE 2 ML</t>
  </si>
  <si>
    <t>055493</t>
  </si>
  <si>
    <t xml:space="preserve">SULAMIN  FORTE  </t>
  </si>
  <si>
    <t>SULAMIN FORTE X 20 COMP BOL</t>
  </si>
  <si>
    <t xml:space="preserve">Sulfametoxazol 800 mg + Trimetoprim 160 mg  </t>
  </si>
  <si>
    <t>055467</t>
  </si>
  <si>
    <t>TENSIOCOM 10</t>
  </si>
  <si>
    <t>TENSIOCOM 10 MG X 30 COMP BOL</t>
  </si>
  <si>
    <t>Amlodipino 10 mg</t>
  </si>
  <si>
    <t>055094</t>
  </si>
  <si>
    <t>TOLBET D</t>
  </si>
  <si>
    <t>TOLBET D  SOLUC. EST GTS OFTAL X 10 BOL</t>
  </si>
  <si>
    <t>Tobramicina 3 mg + Dexametasona 1 mg / 1ml</t>
  </si>
  <si>
    <t>055608</t>
  </si>
  <si>
    <t>TORVA 10</t>
  </si>
  <si>
    <t>TORVA 10 CAJA X 30 COMP BOL</t>
  </si>
  <si>
    <t>Atorvastatina 10 mg</t>
  </si>
  <si>
    <t>055662</t>
  </si>
  <si>
    <t>TORVA 20</t>
  </si>
  <si>
    <t>TORVA 20 CAJA X 30 COMP BOL</t>
  </si>
  <si>
    <t>Atorvastatina 20 mg</t>
  </si>
  <si>
    <t>Unidades</t>
  </si>
  <si>
    <t>Bs.</t>
  </si>
  <si>
    <t>Total Pedido</t>
  </si>
  <si>
    <t>DESC</t>
  </si>
  <si>
    <t>DESCUENTO 
CONTADO</t>
  </si>
  <si>
    <t>TOTAL NETO</t>
  </si>
  <si>
    <t>TIPO DE CLIENTE</t>
  </si>
  <si>
    <t>VENTA</t>
  </si>
  <si>
    <t>GUTIERREZ &amp; CIA</t>
  </si>
  <si>
    <t>SANTA CRUZ</t>
  </si>
  <si>
    <t>PROMOCION</t>
  </si>
  <si>
    <t>DISTRIBUIDOR</t>
  </si>
  <si>
    <t>L&amp;S</t>
  </si>
  <si>
    <t>COCHABAMBA</t>
  </si>
  <si>
    <t>REGISTRO</t>
  </si>
  <si>
    <t>CLINICA</t>
  </si>
  <si>
    <t>SODIPHAR SRL</t>
  </si>
  <si>
    <t>ACEs</t>
  </si>
  <si>
    <t>INSTITUCION</t>
  </si>
  <si>
    <t>APM1 SCZ</t>
  </si>
  <si>
    <t>OTROS</t>
  </si>
  <si>
    <t>APM</t>
  </si>
  <si>
    <t>APM2 SCZ</t>
  </si>
  <si>
    <t>JD</t>
  </si>
  <si>
    <t>APM3 SCZ</t>
  </si>
  <si>
    <t>APM1 LP</t>
  </si>
  <si>
    <t>APM2 LP</t>
  </si>
  <si>
    <t>APM3 LP</t>
  </si>
  <si>
    <t>APM1 CBBA</t>
  </si>
  <si>
    <t>APM2 CBBA</t>
  </si>
  <si>
    <t>APM3 CBBA</t>
  </si>
  <si>
    <t>JD 1 SCZ</t>
  </si>
  <si>
    <t>JD 1 CBBA</t>
  </si>
  <si>
    <t>JD 1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</si>
</sst>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 * #,##0_ ;_ * \-#,##0_ ;_ * &quot;-&quot;_ ;_ @_ "/>
    <numFmt numFmtId="165" formatCode="00000"/>
    <numFmt numFmtId="166" formatCode="_ * #,##0.00_ ;_ * \-#,##0.00_ ;_ * &quot;-&quot;_ ;_ @_ "/>
    <numFmt numFmtId="167" formatCode="_ * #,##0.000_ ;_ * \-#,##0.000_ ;_ * &quot;-&quot;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24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Arial"/>
      <family val="2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43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</cellStyleXfs>
  <cellXfs count="72">
    <xf numFmtId="0" fontId="0" fillId="0" borderId="0" xfId="0"/>
    <xf numFmtId="0" fontId="9" fillId="3" borderId="1" xfId="0" applyFont="1" applyFill="1" applyBorder="1" applyAlignment="1">
      <alignment vertical="center"/>
    </xf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10" fillId="4" borderId="1" xfId="1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10" fillId="4" borderId="1" xfId="1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Protection="1">
      <protection locked="0"/>
    </xf>
    <xf numFmtId="0" fontId="12" fillId="5" borderId="1" xfId="0" applyFont="1" applyFill="1" applyBorder="1" applyProtection="1">
      <protection locked="0"/>
    </xf>
    <xf numFmtId="166" fontId="15" fillId="5" borderId="1" xfId="0" applyNumberFormat="1" applyFont="1" applyFill="1" applyBorder="1" applyProtection="1">
      <protection locked="0"/>
    </xf>
    <xf numFmtId="1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14" fillId="0" borderId="0" xfId="1" applyFont="1" applyAlignment="1">
      <alignment horizontal="center" vertical="center"/>
    </xf>
    <xf numFmtId="0" fontId="14" fillId="0" borderId="0" xfId="1" quotePrefix="1" applyFont="1" applyAlignment="1">
      <alignment horizontal="center" vertical="center"/>
    </xf>
    <xf numFmtId="0" fontId="13" fillId="0" borderId="0" xfId="1" applyFont="1" applyAlignment="1">
      <alignment vertical="center" wrapText="1"/>
    </xf>
    <xf numFmtId="0" fontId="13" fillId="0" borderId="0" xfId="1" applyFont="1" applyAlignment="1">
      <alignment horizontal="left" vertical="center" wrapText="1"/>
    </xf>
    <xf numFmtId="0" fontId="14" fillId="0" borderId="0" xfId="1" applyFont="1" applyAlignment="1">
      <alignment vertical="center" wrapText="1"/>
    </xf>
    <xf numFmtId="167" fontId="13" fillId="0" borderId="0" xfId="3" applyNumberFormat="1" applyFont="1" applyFill="1" applyBorder="1" applyAlignment="1" applyProtection="1">
      <alignment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locked="0"/>
    </xf>
    <xf numFmtId="43" fontId="0" fillId="2" borderId="0" xfId="5" applyFont="1" applyFill="1" applyProtection="1">
      <protection locked="0"/>
    </xf>
    <xf numFmtId="43" fontId="0" fillId="2" borderId="0" xfId="0" applyNumberFormat="1" applyFill="1" applyProtection="1">
      <protection locked="0"/>
    </xf>
    <xf numFmtId="0" fontId="17" fillId="0" borderId="1" xfId="1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18" fillId="0" borderId="1" xfId="1" applyFont="1" applyBorder="1" applyAlignment="1">
      <alignment vertical="center" wrapText="1"/>
    </xf>
    <xf numFmtId="0" fontId="18" fillId="0" borderId="1" xfId="1" applyFont="1" applyBorder="1" applyAlignment="1">
      <alignment horizontal="left" vertical="center" wrapText="1"/>
    </xf>
    <xf numFmtId="0" fontId="17" fillId="0" borderId="1" xfId="1" applyFont="1" applyBorder="1" applyAlignment="1">
      <alignment vertical="center" wrapText="1"/>
    </xf>
    <xf numFmtId="166" fontId="13" fillId="0" borderId="1" xfId="3" applyNumberFormat="1" applyFont="1" applyFill="1" applyBorder="1" applyAlignment="1" applyProtection="1">
      <alignment vertical="center" wrapText="1"/>
    </xf>
    <xf numFmtId="164" fontId="8" fillId="7" borderId="1" xfId="3" applyFont="1" applyFill="1" applyBorder="1" applyAlignment="1" applyProtection="1">
      <alignment vertical="center" wrapText="1"/>
      <protection locked="0"/>
    </xf>
    <xf numFmtId="166" fontId="8" fillId="0" borderId="1" xfId="3" applyNumberFormat="1" applyFont="1" applyFill="1" applyBorder="1" applyAlignment="1" applyProtection="1">
      <alignment vertical="center" wrapText="1"/>
      <protection locked="0"/>
    </xf>
    <xf numFmtId="49" fontId="19" fillId="0" borderId="0" xfId="0" applyNumberFormat="1" applyFont="1" applyAlignment="1">
      <alignment horizontal="left" vertical="top" wrapText="1" shrinkToFit="1"/>
    </xf>
    <xf numFmtId="0" fontId="10" fillId="4" borderId="5" xfId="1" applyFont="1" applyFill="1" applyBorder="1" applyAlignment="1">
      <alignment horizontal="center" vertical="center" wrapText="1"/>
    </xf>
    <xf numFmtId="0" fontId="17" fillId="0" borderId="5" xfId="1" applyFont="1" applyBorder="1" applyAlignment="1">
      <alignment vertical="center" wrapText="1"/>
    </xf>
    <xf numFmtId="164" fontId="8" fillId="7" borderId="7" xfId="3" applyFont="1" applyFill="1" applyBorder="1" applyAlignment="1" applyProtection="1">
      <alignment vertical="center" wrapText="1"/>
      <protection locked="0"/>
    </xf>
    <xf numFmtId="166" fontId="8" fillId="0" borderId="7" xfId="3" applyNumberFormat="1" applyFont="1" applyFill="1" applyBorder="1" applyAlignment="1" applyProtection="1">
      <alignment vertical="center" wrapText="1"/>
      <protection locked="0"/>
    </xf>
    <xf numFmtId="0" fontId="0" fillId="2" borderId="0" xfId="0" applyFill="1" applyAlignment="1" applyProtection="1">
      <alignment wrapText="1"/>
      <protection locked="0"/>
    </xf>
    <xf numFmtId="0" fontId="1" fillId="2" borderId="0" xfId="0" applyFont="1" applyFill="1" applyAlignment="1" applyProtection="1">
      <alignment wrapText="1"/>
      <protection locked="0"/>
    </xf>
    <xf numFmtId="0" fontId="0" fillId="0" borderId="1" xfId="0" applyBorder="1" applyProtection="1">
      <protection locked="0"/>
    </xf>
    <xf numFmtId="14" fontId="19" fillId="0" borderId="1" xfId="0" applyNumberFormat="1" applyFont="1" applyBorder="1" applyAlignment="1">
      <alignment horizontal="left" vertical="center" wrapText="1" shrinkToFit="1"/>
    </xf>
    <xf numFmtId="49" fontId="19" fillId="0" borderId="1" xfId="0" applyNumberFormat="1" applyFont="1" applyBorder="1" applyAlignment="1">
      <alignment horizontal="left" vertical="top" wrapText="1" shrinkToFit="1"/>
    </xf>
    <xf numFmtId="0" fontId="13" fillId="8" borderId="1" xfId="1" applyFont="1" applyFill="1" applyBorder="1" applyAlignment="1">
      <alignment horizontal="center" vertical="center" wrapText="1"/>
    </xf>
    <xf numFmtId="0" fontId="20" fillId="9" borderId="0" xfId="0" applyFont="1" applyFill="1" applyProtection="1"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left" vertical="center"/>
      <protection locked="0"/>
    </xf>
    <xf numFmtId="0" fontId="12" fillId="6" borderId="0" xfId="0" applyFont="1" applyFill="1" applyAlignment="1" applyProtection="1">
      <alignment wrapText="1"/>
      <protection locked="0"/>
    </xf>
    <xf numFmtId="166" fontId="15" fillId="6" borderId="0" xfId="0" applyNumberFormat="1" applyFont="1" applyFill="1" applyProtection="1">
      <protection locked="0"/>
    </xf>
    <xf numFmtId="166" fontId="21" fillId="10" borderId="1" xfId="0" applyNumberFormat="1" applyFont="1" applyFill="1" applyBorder="1" applyProtection="1">
      <protection locked="0"/>
    </xf>
    <xf numFmtId="0" fontId="0" fillId="11" borderId="1" xfId="0" applyFill="1" applyBorder="1" applyProtection="1">
      <protection locked="0"/>
    </xf>
    <xf numFmtId="164" fontId="0" fillId="11" borderId="1" xfId="0" applyNumberFormat="1" applyFill="1" applyBorder="1" applyProtection="1">
      <protection locked="0"/>
    </xf>
    <xf numFmtId="43" fontId="0" fillId="11" borderId="1" xfId="0" applyNumberFormat="1" applyFill="1" applyBorder="1" applyProtection="1">
      <protection locked="0"/>
    </xf>
    <xf numFmtId="166" fontId="0" fillId="11" borderId="1" xfId="0" applyNumberFormat="1" applyFill="1" applyBorder="1" applyProtection="1">
      <protection locked="0"/>
    </xf>
    <xf numFmtId="9" fontId="12" fillId="2" borderId="1" xfId="4" applyFont="1" applyFill="1" applyBorder="1" applyProtection="1">
      <protection locked="0"/>
    </xf>
    <xf numFmtId="9" fontId="12" fillId="2" borderId="0" xfId="4" applyFont="1" applyFill="1" applyBorder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2" fillId="10" borderId="5" xfId="0" applyFont="1" applyFill="1" applyBorder="1" applyAlignment="1" applyProtection="1">
      <alignment horizontal="center"/>
      <protection locked="0"/>
    </xf>
    <xf numFmtId="0" fontId="12" fillId="10" borderId="6" xfId="0" applyFont="1" applyFill="1" applyBorder="1" applyAlignment="1" applyProtection="1">
      <alignment horizont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8" xfId="0" applyFont="1" applyFill="1" applyBorder="1" applyAlignment="1" applyProtection="1">
      <alignment horizontal="center" vertical="center" wrapText="1"/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0" fontId="9" fillId="3" borderId="7" xfId="0" applyFont="1" applyFill="1" applyBorder="1" applyAlignment="1" applyProtection="1">
      <alignment horizontal="center" vertical="center" wrapText="1"/>
      <protection locked="0"/>
    </xf>
    <xf numFmtId="0" fontId="6" fillId="6" borderId="3" xfId="0" applyFont="1" applyFill="1" applyBorder="1" applyAlignment="1" applyProtection="1">
      <alignment horizontal="center" vertical="center" wrapText="1"/>
      <protection locked="0"/>
    </xf>
    <xf numFmtId="0" fontId="6" fillId="6" borderId="10" xfId="0" applyFont="1" applyFill="1" applyBorder="1" applyAlignment="1" applyProtection="1">
      <alignment horizontal="center" vertical="center" wrapText="1"/>
      <protection locked="0"/>
    </xf>
    <xf numFmtId="0" fontId="6" fillId="6" borderId="2" xfId="0" applyFont="1" applyFill="1" applyBorder="1" applyAlignment="1" applyProtection="1">
      <alignment horizontal="center" vertical="center" wrapText="1"/>
      <protection locked="0"/>
    </xf>
    <xf numFmtId="0" fontId="6" fillId="6" borderId="11" xfId="0" applyFont="1" applyFill="1" applyBorder="1" applyAlignment="1" applyProtection="1">
      <alignment horizontal="center" vertical="center" wrapText="1"/>
      <protection locked="0"/>
    </xf>
    <xf numFmtId="0" fontId="6" fillId="6" borderId="4" xfId="0" applyFont="1" applyFill="1" applyBorder="1" applyAlignment="1" applyProtection="1">
      <alignment horizontal="center" vertical="center" wrapText="1"/>
      <protection locked="0"/>
    </xf>
    <xf numFmtId="0" fontId="6" fillId="6" borderId="12" xfId="0" applyFont="1" applyFill="1" applyBorder="1" applyAlignment="1" applyProtection="1">
      <alignment horizontal="center" vertical="center" wrapText="1"/>
      <protection locked="0"/>
    </xf>
    <xf numFmtId="0" fontId="9" fillId="3" borderId="5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</cellXfs>
  <cellStyles count="7">
    <cellStyle name="Millares" xfId="5" builtinId="3"/>
    <cellStyle name="Millares [0]" xfId="3" builtinId="6"/>
    <cellStyle name="Millares 2" xfId="2" xr:uid="{664BB346-DB96-49D3-A6D0-176D84ADFBD0}"/>
    <cellStyle name="Normal" xfId="0" builtinId="0"/>
    <cellStyle name="Normal 2" xfId="1" xr:uid="{3B44B971-26B8-427B-BEBD-FBA8D1E4B212}"/>
    <cellStyle name="Normal 4" xfId="6" xr:uid="{778D9DCA-DC95-4C59-83FF-55C661553A9A}"/>
    <cellStyle name="Porcentaje" xfId="4" builtinId="5"/>
  </cellStyles>
  <dxfs count="10">
    <dxf>
      <font>
        <color auto="1"/>
      </font>
      <fill>
        <patternFill>
          <bgColor rgb="FFD9D8D6"/>
        </patternFill>
      </fill>
      <border>
        <left/>
        <right/>
        <top/>
        <bottom/>
        <vertical style="thin">
          <color theme="0"/>
        </vertical>
        <horizontal/>
      </border>
    </dxf>
    <dxf>
      <font>
        <color auto="1"/>
      </font>
      <fill>
        <patternFill>
          <bgColor theme="0"/>
        </patternFill>
      </fill>
      <border>
        <left/>
        <right/>
        <top/>
        <bottom/>
        <vertical style="thin">
          <color rgb="FFF5F5F5"/>
        </vertical>
        <horizontal/>
      </border>
    </dxf>
    <dxf>
      <font>
        <color auto="1"/>
      </font>
      <fill>
        <patternFill>
          <bgColor rgb="FFBBBABA"/>
        </patternFill>
      </fill>
      <border>
        <left/>
        <right/>
        <top/>
        <bottom/>
        <vertical style="thin">
          <color theme="0"/>
        </vertical>
        <horizontal/>
      </border>
    </dxf>
    <dxf>
      <font>
        <b val="0"/>
        <i val="0"/>
        <color auto="1"/>
      </font>
      <fill>
        <patternFill>
          <bgColor rgb="FFBBBABA"/>
        </patternFill>
      </fill>
      <border>
        <left/>
        <right/>
        <top/>
        <bottom/>
        <vertical style="thin">
          <color theme="0"/>
        </vertical>
        <horizontal/>
      </border>
    </dxf>
    <dxf>
      <font>
        <color rgb="FF346187"/>
      </font>
      <fill>
        <patternFill>
          <bgColor rgb="FFE6E6E6"/>
        </patternFill>
      </fill>
      <border>
        <left/>
        <right/>
        <top/>
        <bottom/>
        <vertical style="thin">
          <color rgb="FFFFFFFF"/>
        </vertical>
        <horizontal style="thin">
          <color rgb="FFFFFFFF"/>
        </horizontal>
      </border>
    </dxf>
    <dxf>
      <font>
        <color rgb="FF346187"/>
      </font>
      <border>
        <left/>
        <right/>
        <top/>
        <bottom/>
        <vertical style="thin">
          <color rgb="FFE6E6E6"/>
        </vertical>
        <horizontal/>
      </border>
    </dxf>
    <dxf>
      <font>
        <b/>
        <i val="0"/>
        <color rgb="FF346187"/>
      </font>
      <fill>
        <patternFill>
          <bgColor rgb="FFA9C6DE"/>
        </patternFill>
      </fill>
      <border>
        <left/>
        <right/>
        <top style="thin">
          <color rgb="FFFFFFFF"/>
        </top>
        <bottom/>
        <vertical style="thin">
          <color rgb="FFFFFFFF"/>
        </vertical>
        <horizontal/>
      </border>
    </dxf>
    <dxf>
      <font>
        <b/>
        <i val="0"/>
        <color rgb="FF346187"/>
      </font>
      <fill>
        <patternFill>
          <bgColor rgb="FFA9C6DE"/>
        </patternFill>
      </fill>
      <border>
        <left/>
        <right/>
        <top/>
        <bottom style="thin">
          <color rgb="FFEFF4F9"/>
        </bottom>
        <vertical style="thin">
          <color rgb="FFEFF4F9"/>
        </vertical>
        <horizontal style="thin">
          <color rgb="FFEFF4F9"/>
        </horizontal>
      </border>
    </dxf>
    <dxf>
      <font>
        <b/>
        <i val="0"/>
        <color theme="6"/>
      </font>
      <fill>
        <patternFill>
          <bgColor theme="7" tint="-0.499984740745262"/>
        </patternFill>
      </fill>
    </dxf>
    <dxf>
      <fill>
        <patternFill>
          <bgColor rgb="FFF2F2F2"/>
        </patternFill>
      </fill>
    </dxf>
  </dxfs>
  <tableStyles count="4" defaultTableStyle="TableStyleMedium2" defaultPivotStyle="PivotStyleLight16">
    <tableStyle name="Estilo de segmentación de datos 1 2" pivot="0" table="0" count="2" xr9:uid="{6FF77014-A9B8-4F0B-BAEA-39D867BCD3ED}">
      <tableStyleElement type="wholeTable" dxfId="9"/>
      <tableStyleElement type="headerRow" dxfId="8"/>
    </tableStyle>
    <tableStyle name="Estilo de tabla 1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Estilo de tabla 1 3 2 2" pivot="0" count="4" xr9:uid="{8F2AC6D7-166E-4473-AF80-A2785476E22D}">
      <tableStyleElement type="headerRow" dxfId="3"/>
      <tableStyleElement type="totalRow" dxfId="2"/>
      <tableStyleElement type="firstRowStripe" dxfId="1"/>
      <tableStyleElement type="secondRowStripe" dxfId="0"/>
    </tableStyle>
    <tableStyle name="Invisible" pivot="0" table="0" count="0" xr9:uid="{B3D28101-289C-4665-98AC-80A085E849A7}"/>
  </tableStyles>
  <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104775</xdr:rowOff>
    </xdr:from>
    <xdr:to>
      <xdr:col>2</xdr:col>
      <xdr:colOff>589122</xdr:colOff>
      <xdr:row>4</xdr:row>
      <xdr:rowOff>131445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649980-ADBD-433C-80AE-588270BB9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04775"/>
          <a:ext cx="1760697" cy="788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104775</xdr:rowOff>
    </xdr:from>
    <xdr:to>
      <xdr:col>2</xdr:col>
      <xdr:colOff>922497</xdr:colOff>
      <xdr:row>4</xdr:row>
      <xdr:rowOff>131445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483531-556B-4749-9F1A-A7BFB1EB8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04775"/>
          <a:ext cx="178386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A608-1247-4D4E-BBF5-C906C31EA479}">
  <dimension ref="A1:I30"/>
  <sheetViews>
    <sheetView tabSelected="1" topLeftCell="A10" workbookViewId="0">
      <selection activeCell="D27" sqref="D27"/>
    </sheetView>
  </sheetViews>
  <sheetFormatPr baseColWidth="10" defaultRowHeight="15" x14ac:dyDescent="0.25"/>
  <sheetData>
    <row r="1" spans="1:9" x14ac:dyDescent="0.25">
      <c r="A1" s="2"/>
      <c r="B1" s="2"/>
      <c r="C1" s="2"/>
      <c r="D1" s="2"/>
      <c r="E1" s="2"/>
      <c r="F1" s="2"/>
      <c r="G1" s="2"/>
      <c r="H1" s="2"/>
      <c r="I1" s="38"/>
    </row>
    <row r="2" spans="1:9" x14ac:dyDescent="0.25">
      <c r="A2" s="2"/>
      <c r="B2" s="2"/>
      <c r="C2" s="2"/>
      <c r="D2" s="2"/>
      <c r="E2" s="2"/>
      <c r="F2" s="2"/>
      <c r="G2" s="2"/>
      <c r="H2" s="2"/>
      <c r="I2" s="38"/>
    </row>
    <row r="3" spans="1:9" x14ac:dyDescent="0.25">
      <c r="A3" s="2"/>
      <c r="B3" s="2"/>
      <c r="C3" s="2"/>
      <c r="D3" s="2"/>
      <c r="E3" s="2"/>
      <c r="F3" s="2"/>
      <c r="G3" s="2"/>
      <c r="H3" s="2"/>
      <c r="I3" s="38"/>
    </row>
    <row r="4" spans="1:9" x14ac:dyDescent="0.25">
      <c r="A4" s="2"/>
      <c r="B4" s="2"/>
      <c r="C4" s="2"/>
      <c r="D4" s="2"/>
      <c r="E4" s="2"/>
      <c r="F4" s="2"/>
      <c r="G4" s="2"/>
      <c r="H4" s="2"/>
      <c r="I4" s="38"/>
    </row>
    <row r="5" spans="1:9" ht="31.5" x14ac:dyDescent="0.25">
      <c r="A5" s="71" t="s">
        <v>0</v>
      </c>
      <c r="B5" s="71"/>
      <c r="C5" s="71"/>
      <c r="D5" s="71"/>
      <c r="E5" s="71"/>
      <c r="F5" s="71"/>
      <c r="G5" s="2"/>
      <c r="H5" s="2"/>
      <c r="I5" s="38"/>
    </row>
    <row r="6" spans="1:9" x14ac:dyDescent="0.25">
      <c r="A6" s="2"/>
      <c r="B6" s="2"/>
      <c r="C6" s="2"/>
      <c r="D6" s="2"/>
      <c r="E6" s="2"/>
      <c r="F6" s="2"/>
      <c r="G6" s="2"/>
      <c r="H6" s="2"/>
      <c r="I6" s="38"/>
    </row>
    <row r="7" spans="1:9" x14ac:dyDescent="0.25">
      <c r="A7" s="59" t="s">
        <v>1</v>
      </c>
      <c r="B7" s="59"/>
      <c r="C7" s="11">
        <v>46001</v>
      </c>
      <c r="D7" s="60" t="s">
        <v>2</v>
      </c>
      <c r="E7" s="63" t="s">
        <v>3</v>
      </c>
      <c r="F7" s="64"/>
      <c r="G7" s="3"/>
      <c r="H7" s="3"/>
      <c r="I7" s="39"/>
    </row>
    <row r="8" spans="1:9" x14ac:dyDescent="0.25">
      <c r="A8" s="59" t="s">
        <v>4</v>
      </c>
      <c r="B8" s="59"/>
      <c r="C8" s="12" t="s">
        <v>5</v>
      </c>
      <c r="D8" s="61"/>
      <c r="E8" s="65"/>
      <c r="F8" s="66"/>
      <c r="G8" s="3"/>
      <c r="H8" s="3"/>
      <c r="I8" s="39"/>
    </row>
    <row r="9" spans="1:9" x14ac:dyDescent="0.25">
      <c r="A9" s="59" t="s">
        <v>6</v>
      </c>
      <c r="B9" s="59"/>
      <c r="C9" s="4" t="s">
        <v>7</v>
      </c>
      <c r="D9" s="61"/>
      <c r="E9" s="65"/>
      <c r="F9" s="66"/>
      <c r="G9" s="3"/>
      <c r="H9" s="3"/>
      <c r="I9" s="39"/>
    </row>
    <row r="10" spans="1:9" ht="56.25" x14ac:dyDescent="0.25">
      <c r="A10" s="69" t="s">
        <v>8</v>
      </c>
      <c r="B10" s="70"/>
      <c r="C10" s="22" t="s">
        <v>9</v>
      </c>
      <c r="D10" s="61"/>
      <c r="E10" s="65"/>
      <c r="F10" s="66"/>
      <c r="G10" s="3"/>
      <c r="H10" s="3"/>
      <c r="I10" s="39"/>
    </row>
    <row r="11" spans="1:9" x14ac:dyDescent="0.25">
      <c r="A11" s="59" t="s">
        <v>10</v>
      </c>
      <c r="B11" s="59"/>
      <c r="C11" s="13"/>
      <c r="D11" s="61"/>
      <c r="E11" s="65"/>
      <c r="F11" s="66"/>
      <c r="G11" s="3"/>
      <c r="H11" s="3"/>
      <c r="I11" s="39"/>
    </row>
    <row r="12" spans="1:9" x14ac:dyDescent="0.25">
      <c r="A12" s="45"/>
      <c r="B12" s="46" t="s">
        <v>11</v>
      </c>
      <c r="C12" s="13"/>
      <c r="D12" s="61"/>
      <c r="E12" s="65"/>
      <c r="F12" s="66"/>
      <c r="G12" s="3"/>
      <c r="H12" s="3"/>
      <c r="I12" s="39"/>
    </row>
    <row r="13" spans="1:9" x14ac:dyDescent="0.25">
      <c r="A13" s="59" t="s">
        <v>12</v>
      </c>
      <c r="B13" s="59"/>
      <c r="C13" s="14" t="s">
        <v>13</v>
      </c>
      <c r="D13" s="61"/>
      <c r="E13" s="65"/>
      <c r="F13" s="66"/>
      <c r="G13" s="3"/>
      <c r="H13" s="3"/>
      <c r="I13" s="39"/>
    </row>
    <row r="14" spans="1:9" x14ac:dyDescent="0.25">
      <c r="A14" s="59" t="s">
        <v>14</v>
      </c>
      <c r="B14" s="59"/>
      <c r="C14" s="15"/>
      <c r="D14" s="61"/>
      <c r="E14" s="65"/>
      <c r="F14" s="66"/>
      <c r="G14" s="3"/>
      <c r="H14" s="3"/>
      <c r="I14" s="39"/>
    </row>
    <row r="15" spans="1:9" x14ac:dyDescent="0.25">
      <c r="A15" s="59" t="s">
        <v>15</v>
      </c>
      <c r="B15" s="59"/>
      <c r="C15" s="4"/>
      <c r="D15" s="62"/>
      <c r="E15" s="67"/>
      <c r="F15" s="68"/>
      <c r="G15" s="3"/>
      <c r="H15" s="3"/>
      <c r="I15" s="39"/>
    </row>
    <row r="16" spans="1:9" x14ac:dyDescent="0.25">
      <c r="A16" s="59" t="s">
        <v>16</v>
      </c>
      <c r="B16" s="59"/>
      <c r="C16" s="13" t="s">
        <v>17</v>
      </c>
      <c r="D16" s="2"/>
      <c r="E16" s="2"/>
      <c r="F16" s="2"/>
      <c r="G16" s="2"/>
      <c r="H16" s="2"/>
      <c r="I16" s="38"/>
    </row>
    <row r="17" spans="1:9" x14ac:dyDescent="0.25">
      <c r="A17" s="44" t="s">
        <v>18</v>
      </c>
      <c r="B17" s="44"/>
      <c r="C17" s="2"/>
      <c r="D17" s="2"/>
      <c r="E17" s="2"/>
      <c r="F17" s="2"/>
      <c r="G17" s="24"/>
      <c r="H17" s="2"/>
      <c r="I17" s="38"/>
    </row>
    <row r="18" spans="1:9" ht="25.5" x14ac:dyDescent="0.25">
      <c r="A18" s="7" t="s">
        <v>19</v>
      </c>
      <c r="B18" s="7" t="s">
        <v>20</v>
      </c>
      <c r="C18" s="7" t="s">
        <v>21</v>
      </c>
      <c r="D18" s="43" t="s">
        <v>25</v>
      </c>
      <c r="E18" s="5" t="s">
        <v>26</v>
      </c>
      <c r="F18" s="5" t="s">
        <v>27</v>
      </c>
      <c r="G18" s="5" t="s">
        <v>28</v>
      </c>
      <c r="H18" s="5" t="s">
        <v>29</v>
      </c>
      <c r="I18" s="38"/>
    </row>
    <row r="19" spans="1:9" x14ac:dyDescent="0.25">
      <c r="A19" s="25">
        <v>3</v>
      </c>
      <c r="B19" s="26" t="s">
        <v>40</v>
      </c>
      <c r="C19" s="27" t="s">
        <v>41</v>
      </c>
      <c r="D19" s="30">
        <v>85.6</v>
      </c>
      <c r="E19" s="31">
        <v>3</v>
      </c>
      <c r="F19" s="32">
        <v>256.79999999999995</v>
      </c>
      <c r="G19" s="52">
        <v>85.6</v>
      </c>
      <c r="H19" s="51">
        <v>256.79999999999995</v>
      </c>
      <c r="I19" s="2"/>
    </row>
    <row r="20" spans="1:9" x14ac:dyDescent="0.25">
      <c r="A20" s="25">
        <v>5</v>
      </c>
      <c r="B20" s="26" t="s">
        <v>50</v>
      </c>
      <c r="C20" s="27" t="s">
        <v>51</v>
      </c>
      <c r="D20" s="30">
        <v>35</v>
      </c>
      <c r="E20" s="31">
        <v>3</v>
      </c>
      <c r="F20" s="32">
        <v>105</v>
      </c>
      <c r="G20" s="52">
        <v>30</v>
      </c>
      <c r="H20" s="51">
        <v>90</v>
      </c>
      <c r="I20" s="2"/>
    </row>
    <row r="21" spans="1:9" ht="25.5" x14ac:dyDescent="0.25">
      <c r="A21" s="25">
        <v>11</v>
      </c>
      <c r="B21" s="26" t="s">
        <v>83</v>
      </c>
      <c r="C21" s="27" t="s">
        <v>84</v>
      </c>
      <c r="D21" s="30">
        <v>54</v>
      </c>
      <c r="E21" s="31">
        <v>1</v>
      </c>
      <c r="F21" s="32">
        <v>54</v>
      </c>
      <c r="G21" s="50">
        <v>54.4</v>
      </c>
      <c r="H21" s="51">
        <v>54.4</v>
      </c>
      <c r="I21" s="33"/>
    </row>
    <row r="22" spans="1:9" ht="25.5" x14ac:dyDescent="0.25">
      <c r="A22" s="25">
        <v>27</v>
      </c>
      <c r="B22" s="26" t="s">
        <v>173</v>
      </c>
      <c r="C22" s="27" t="s">
        <v>174</v>
      </c>
      <c r="D22" s="30">
        <v>19</v>
      </c>
      <c r="E22" s="31">
        <v>3</v>
      </c>
      <c r="F22" s="32">
        <v>57</v>
      </c>
      <c r="G22" s="50">
        <v>19</v>
      </c>
      <c r="H22" s="51">
        <v>57</v>
      </c>
      <c r="I22" s="2"/>
    </row>
    <row r="23" spans="1:9" x14ac:dyDescent="0.25">
      <c r="A23" s="2"/>
      <c r="B23" s="2"/>
      <c r="C23" s="2"/>
      <c r="D23" s="2"/>
      <c r="E23" s="6" t="s">
        <v>249</v>
      </c>
      <c r="F23" s="6" t="s">
        <v>250</v>
      </c>
      <c r="G23" s="2"/>
      <c r="H23" s="2"/>
      <c r="I23" s="2"/>
    </row>
    <row r="24" spans="1:9" ht="18.75" x14ac:dyDescent="0.3">
      <c r="A24" s="2"/>
      <c r="B24" s="2"/>
      <c r="C24" s="2"/>
      <c r="D24" s="9" t="s">
        <v>251</v>
      </c>
      <c r="E24" s="8">
        <v>10</v>
      </c>
      <c r="F24" s="10">
        <v>472.79999999999995</v>
      </c>
      <c r="G24" s="2"/>
      <c r="H24" s="10">
        <v>458.19999999999993</v>
      </c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38"/>
    </row>
    <row r="26" spans="1:9" ht="18.75" x14ac:dyDescent="0.3">
      <c r="A26" s="2"/>
      <c r="B26" s="2"/>
      <c r="C26" s="2"/>
      <c r="D26" s="9" t="s">
        <v>252</v>
      </c>
      <c r="E26" s="54">
        <v>3.0879864636209866E-2</v>
      </c>
      <c r="F26" s="10">
        <v>14.600000000000023</v>
      </c>
      <c r="G26" s="24"/>
      <c r="H26" s="2"/>
      <c r="I26" s="38"/>
    </row>
    <row r="27" spans="1:9" ht="75" x14ac:dyDescent="0.3">
      <c r="A27" s="2"/>
      <c r="B27" s="2"/>
      <c r="C27" s="2"/>
      <c r="D27" s="47" t="s">
        <v>253</v>
      </c>
      <c r="E27" s="55"/>
      <c r="F27" s="48">
        <v>13.745999999999997</v>
      </c>
      <c r="G27" s="24"/>
      <c r="H27" s="2"/>
      <c r="I27" s="38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38"/>
    </row>
    <row r="29" spans="1:9" ht="21" x14ac:dyDescent="0.35">
      <c r="A29" s="2"/>
      <c r="B29" s="2"/>
      <c r="C29" s="2"/>
      <c r="D29" s="57" t="s">
        <v>254</v>
      </c>
      <c r="E29" s="58"/>
      <c r="F29" s="49">
        <v>444.45399999999989</v>
      </c>
      <c r="G29" s="2"/>
      <c r="H29" s="2"/>
      <c r="I29" s="38"/>
    </row>
    <row r="30" spans="1:9" x14ac:dyDescent="0.25">
      <c r="A30" s="2"/>
      <c r="B30" s="2"/>
      <c r="C30" s="2"/>
      <c r="D30" s="2"/>
      <c r="E30" s="2"/>
      <c r="F30" s="2"/>
      <c r="G30" s="23"/>
      <c r="H30" s="23"/>
      <c r="I30" s="38"/>
    </row>
  </sheetData>
  <mergeCells count="12">
    <mergeCell ref="A14:B14"/>
    <mergeCell ref="A15:B15"/>
    <mergeCell ref="A16:B16"/>
    <mergeCell ref="D7:D15"/>
    <mergeCell ref="E7:F15"/>
    <mergeCell ref="D29:E29"/>
    <mergeCell ref="A7:B7"/>
    <mergeCell ref="A8:B8"/>
    <mergeCell ref="A9:B9"/>
    <mergeCell ref="A10:B10"/>
    <mergeCell ref="A11:B11"/>
    <mergeCell ref="A13:B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3B96-B5D1-45B1-9108-2C216E6C5FE5}">
  <sheetPr filterMode="1">
    <pageSetUpPr fitToPage="1"/>
  </sheetPr>
  <dimension ref="A5:M76"/>
  <sheetViews>
    <sheetView zoomScaleNormal="100" workbookViewId="0">
      <selection activeCell="M76" sqref="A1:M76"/>
    </sheetView>
  </sheetViews>
  <sheetFormatPr baseColWidth="10" defaultColWidth="27.85546875" defaultRowHeight="15" x14ac:dyDescent="0.25"/>
  <cols>
    <col min="1" max="1" width="6.5703125" style="2" customWidth="1"/>
    <col min="2" max="2" width="11.28515625" style="2" customWidth="1"/>
    <col min="3" max="3" width="36.28515625" style="2" bestFit="1" customWidth="1"/>
    <col min="4" max="4" width="25.5703125" style="2" hidden="1" customWidth="1"/>
    <col min="5" max="6" width="35.5703125" style="2" hidden="1" customWidth="1"/>
    <col min="7" max="7" width="15.5703125" style="2" bestFit="1" customWidth="1"/>
    <col min="8" max="8" width="10.42578125" style="2" customWidth="1"/>
    <col min="9" max="9" width="13.5703125" style="2" bestFit="1" customWidth="1"/>
    <col min="10" max="10" width="8.85546875" style="2" customWidth="1"/>
    <col min="11" max="11" width="10.7109375" style="2" customWidth="1"/>
    <col min="12" max="12" width="13.85546875" style="2" hidden="1" customWidth="1"/>
    <col min="13" max="13" width="27.85546875" style="38"/>
    <col min="14" max="14" width="53.85546875" style="2" customWidth="1"/>
    <col min="15" max="16384" width="27.85546875" style="2"/>
  </cols>
  <sheetData>
    <row r="5" spans="1:13" ht="31.5" x14ac:dyDescent="0.25">
      <c r="A5" s="71" t="s">
        <v>0</v>
      </c>
      <c r="B5" s="71"/>
      <c r="C5" s="71"/>
      <c r="D5" s="56"/>
      <c r="E5" s="56"/>
      <c r="F5" s="56"/>
      <c r="G5" s="71"/>
      <c r="H5" s="71"/>
      <c r="I5" s="71"/>
    </row>
    <row r="7" spans="1:13" s="3" customFormat="1" ht="16.5" customHeight="1" x14ac:dyDescent="0.25">
      <c r="A7" s="59" t="s">
        <v>1</v>
      </c>
      <c r="B7" s="59"/>
      <c r="C7" s="11">
        <v>46001</v>
      </c>
      <c r="G7" s="60" t="s">
        <v>2</v>
      </c>
      <c r="H7" s="63" t="s">
        <v>3</v>
      </c>
      <c r="I7" s="64"/>
      <c r="M7" s="39"/>
    </row>
    <row r="8" spans="1:13" s="3" customFormat="1" ht="16.5" customHeight="1" x14ac:dyDescent="0.25">
      <c r="A8" s="59" t="s">
        <v>4</v>
      </c>
      <c r="B8" s="59"/>
      <c r="C8" s="12" t="s">
        <v>5</v>
      </c>
      <c r="G8" s="61"/>
      <c r="H8" s="65"/>
      <c r="I8" s="66"/>
      <c r="M8" s="39"/>
    </row>
    <row r="9" spans="1:13" s="3" customFormat="1" ht="16.5" customHeight="1" x14ac:dyDescent="0.25">
      <c r="A9" s="59" t="s">
        <v>6</v>
      </c>
      <c r="B9" s="59"/>
      <c r="C9" s="4" t="s">
        <v>7</v>
      </c>
      <c r="G9" s="61"/>
      <c r="H9" s="65"/>
      <c r="I9" s="66"/>
      <c r="M9" s="39"/>
    </row>
    <row r="10" spans="1:13" s="3" customFormat="1" ht="36.75" customHeight="1" x14ac:dyDescent="0.25">
      <c r="A10" s="69" t="s">
        <v>8</v>
      </c>
      <c r="B10" s="70"/>
      <c r="C10" s="22" t="s">
        <v>9</v>
      </c>
      <c r="G10" s="61"/>
      <c r="H10" s="65"/>
      <c r="I10" s="66"/>
      <c r="M10" s="39"/>
    </row>
    <row r="11" spans="1:13" s="3" customFormat="1" ht="16.5" customHeight="1" x14ac:dyDescent="0.25">
      <c r="A11" s="59" t="s">
        <v>10</v>
      </c>
      <c r="B11" s="59"/>
      <c r="C11" s="13"/>
      <c r="G11" s="61"/>
      <c r="H11" s="65"/>
      <c r="I11" s="66"/>
      <c r="M11" s="39"/>
    </row>
    <row r="12" spans="1:13" s="3" customFormat="1" ht="16.5" customHeight="1" x14ac:dyDescent="0.25">
      <c r="A12" s="45"/>
      <c r="B12" s="46" t="s">
        <v>11</v>
      </c>
      <c r="C12" s="13"/>
      <c r="G12" s="61"/>
      <c r="H12" s="65"/>
      <c r="I12" s="66"/>
      <c r="M12" s="39"/>
    </row>
    <row r="13" spans="1:13" s="3" customFormat="1" ht="16.5" customHeight="1" x14ac:dyDescent="0.25">
      <c r="A13" s="59" t="s">
        <v>12</v>
      </c>
      <c r="B13" s="59"/>
      <c r="C13" s="14" t="s">
        <v>13</v>
      </c>
      <c r="G13" s="61"/>
      <c r="H13" s="65"/>
      <c r="I13" s="66"/>
      <c r="M13" s="39"/>
    </row>
    <row r="14" spans="1:13" s="3" customFormat="1" ht="16.5" customHeight="1" x14ac:dyDescent="0.25">
      <c r="A14" s="59" t="s">
        <v>14</v>
      </c>
      <c r="B14" s="59"/>
      <c r="C14" s="15"/>
      <c r="G14" s="61"/>
      <c r="H14" s="65"/>
      <c r="I14" s="66"/>
      <c r="M14" s="39"/>
    </row>
    <row r="15" spans="1:13" s="3" customFormat="1" ht="16.5" customHeight="1" x14ac:dyDescent="0.25">
      <c r="A15" s="59" t="s">
        <v>15</v>
      </c>
      <c r="B15" s="59"/>
      <c r="C15" s="4"/>
      <c r="G15" s="62"/>
      <c r="H15" s="67"/>
      <c r="I15" s="68"/>
      <c r="M15" s="39"/>
    </row>
    <row r="16" spans="1:13" x14ac:dyDescent="0.25">
      <c r="A16" s="59" t="s">
        <v>16</v>
      </c>
      <c r="B16" s="59"/>
      <c r="C16" s="13" t="s">
        <v>17</v>
      </c>
    </row>
    <row r="17" spans="1:13" x14ac:dyDescent="0.25">
      <c r="A17" s="44" t="s">
        <v>18</v>
      </c>
      <c r="B17" s="44"/>
      <c r="J17" s="24"/>
    </row>
    <row r="18" spans="1:13" ht="26.45" customHeight="1" x14ac:dyDescent="0.25">
      <c r="A18" s="7" t="s">
        <v>19</v>
      </c>
      <c r="B18" s="7" t="s">
        <v>20</v>
      </c>
      <c r="C18" s="7" t="s">
        <v>21</v>
      </c>
      <c r="D18" s="7" t="s">
        <v>22</v>
      </c>
      <c r="E18" s="7" t="s">
        <v>23</v>
      </c>
      <c r="F18" s="34" t="s">
        <v>24</v>
      </c>
      <c r="G18" s="43" t="s">
        <v>25</v>
      </c>
      <c r="H18" s="5" t="s">
        <v>26</v>
      </c>
      <c r="I18" s="5" t="s">
        <v>27</v>
      </c>
      <c r="J18" s="5" t="s">
        <v>28</v>
      </c>
      <c r="K18" s="5" t="s">
        <v>29</v>
      </c>
      <c r="L18" s="5" t="s">
        <v>30</v>
      </c>
    </row>
    <row r="19" spans="1:13" ht="22.15" hidden="1" customHeight="1" x14ac:dyDescent="0.25">
      <c r="A19" s="25">
        <v>1</v>
      </c>
      <c r="B19" s="26">
        <v>55508</v>
      </c>
      <c r="C19" s="27" t="s">
        <v>31</v>
      </c>
      <c r="D19" s="28" t="s">
        <v>32</v>
      </c>
      <c r="E19" s="29" t="s">
        <v>33</v>
      </c>
      <c r="F19" s="35" t="s">
        <v>34</v>
      </c>
      <c r="G19" s="30">
        <v>90</v>
      </c>
      <c r="H19" s="31"/>
      <c r="I19" s="32">
        <f>G19*H19</f>
        <v>0</v>
      </c>
      <c r="J19" s="50">
        <v>90</v>
      </c>
      <c r="K19" s="51">
        <f t="shared" ref="K19:K65" si="0">J19*H19</f>
        <v>0</v>
      </c>
      <c r="L19" s="40"/>
      <c r="M19" s="2"/>
    </row>
    <row r="20" spans="1:13" ht="22.15" hidden="1" customHeight="1" x14ac:dyDescent="0.25">
      <c r="A20" s="25">
        <v>2</v>
      </c>
      <c r="B20" s="26" t="s">
        <v>35</v>
      </c>
      <c r="C20" s="27" t="s">
        <v>36</v>
      </c>
      <c r="D20" s="28" t="s">
        <v>37</v>
      </c>
      <c r="E20" s="29" t="s">
        <v>38</v>
      </c>
      <c r="F20" s="35" t="s">
        <v>39</v>
      </c>
      <c r="G20" s="30">
        <v>47</v>
      </c>
      <c r="H20" s="36"/>
      <c r="I20" s="37">
        <f t="shared" ref="I20:I67" si="1">G20*H20</f>
        <v>0</v>
      </c>
      <c r="J20" s="52"/>
      <c r="K20" s="51">
        <f t="shared" si="0"/>
        <v>0</v>
      </c>
      <c r="L20" s="40"/>
      <c r="M20" s="2"/>
    </row>
    <row r="21" spans="1:13" ht="22.15" customHeight="1" x14ac:dyDescent="0.25">
      <c r="A21" s="25">
        <v>3</v>
      </c>
      <c r="B21" s="26" t="s">
        <v>40</v>
      </c>
      <c r="C21" s="27" t="s">
        <v>41</v>
      </c>
      <c r="D21" s="28" t="s">
        <v>42</v>
      </c>
      <c r="E21" s="29" t="s">
        <v>43</v>
      </c>
      <c r="F21" s="35" t="s">
        <v>44</v>
      </c>
      <c r="G21" s="30">
        <v>85.6</v>
      </c>
      <c r="H21" s="31">
        <v>3</v>
      </c>
      <c r="I21" s="32">
        <f t="shared" si="1"/>
        <v>256.79999999999995</v>
      </c>
      <c r="J21" s="52">
        <v>85.6</v>
      </c>
      <c r="K21" s="51">
        <f t="shared" si="0"/>
        <v>256.79999999999995</v>
      </c>
      <c r="L21" s="40"/>
      <c r="M21" s="2"/>
    </row>
    <row r="22" spans="1:13" ht="22.15" hidden="1" customHeight="1" x14ac:dyDescent="0.25">
      <c r="A22" s="25">
        <v>4</v>
      </c>
      <c r="B22" s="26" t="s">
        <v>45</v>
      </c>
      <c r="C22" s="27" t="s">
        <v>46</v>
      </c>
      <c r="D22" s="28" t="s">
        <v>47</v>
      </c>
      <c r="E22" s="29" t="s">
        <v>48</v>
      </c>
      <c r="F22" s="35" t="s">
        <v>49</v>
      </c>
      <c r="G22" s="30">
        <v>13.7</v>
      </c>
      <c r="H22" s="36"/>
      <c r="I22" s="37">
        <f t="shared" si="1"/>
        <v>0</v>
      </c>
      <c r="J22" s="50"/>
      <c r="K22" s="51">
        <f t="shared" si="0"/>
        <v>0</v>
      </c>
      <c r="L22" s="40"/>
      <c r="M22" s="2"/>
    </row>
    <row r="23" spans="1:13" ht="22.15" customHeight="1" x14ac:dyDescent="0.25">
      <c r="A23" s="25">
        <v>5</v>
      </c>
      <c r="B23" s="26" t="s">
        <v>50</v>
      </c>
      <c r="C23" s="27" t="s">
        <v>51</v>
      </c>
      <c r="D23" s="28" t="s">
        <v>52</v>
      </c>
      <c r="E23" s="29" t="s">
        <v>53</v>
      </c>
      <c r="F23" s="35" t="s">
        <v>49</v>
      </c>
      <c r="G23" s="30">
        <v>35</v>
      </c>
      <c r="H23" s="31">
        <v>3</v>
      </c>
      <c r="I23" s="32">
        <f t="shared" si="1"/>
        <v>105</v>
      </c>
      <c r="J23" s="52">
        <v>30</v>
      </c>
      <c r="K23" s="51">
        <f t="shared" si="0"/>
        <v>90</v>
      </c>
      <c r="L23" s="40"/>
      <c r="M23" s="2"/>
    </row>
    <row r="24" spans="1:13" ht="22.15" hidden="1" customHeight="1" x14ac:dyDescent="0.25">
      <c r="A24" s="25">
        <v>6</v>
      </c>
      <c r="B24" s="26" t="s">
        <v>54</v>
      </c>
      <c r="C24" s="27" t="s">
        <v>55</v>
      </c>
      <c r="D24" s="28" t="s">
        <v>56</v>
      </c>
      <c r="E24" s="29" t="s">
        <v>57</v>
      </c>
      <c r="F24" s="35" t="s">
        <v>58</v>
      </c>
      <c r="G24" s="30">
        <v>98</v>
      </c>
      <c r="H24" s="31"/>
      <c r="I24" s="32">
        <f t="shared" si="1"/>
        <v>0</v>
      </c>
      <c r="J24" s="52">
        <v>98</v>
      </c>
      <c r="K24" s="51">
        <f t="shared" si="0"/>
        <v>0</v>
      </c>
      <c r="L24" s="40"/>
      <c r="M24" s="2"/>
    </row>
    <row r="25" spans="1:13" ht="22.15" hidden="1" customHeight="1" x14ac:dyDescent="0.25">
      <c r="A25" s="25">
        <v>7</v>
      </c>
      <c r="B25" s="26" t="s">
        <v>59</v>
      </c>
      <c r="C25" s="27" t="s">
        <v>60</v>
      </c>
      <c r="D25" s="28" t="s">
        <v>61</v>
      </c>
      <c r="E25" s="29" t="s">
        <v>62</v>
      </c>
      <c r="F25" s="35" t="s">
        <v>63</v>
      </c>
      <c r="G25" s="30">
        <v>69</v>
      </c>
      <c r="H25" s="31"/>
      <c r="I25" s="32">
        <f t="shared" si="1"/>
        <v>0</v>
      </c>
      <c r="J25" s="50"/>
      <c r="K25" s="51">
        <f t="shared" si="0"/>
        <v>0</v>
      </c>
      <c r="L25" s="40"/>
      <c r="M25" s="2"/>
    </row>
    <row r="26" spans="1:13" ht="22.15" hidden="1" customHeight="1" x14ac:dyDescent="0.25">
      <c r="A26" s="25">
        <v>47</v>
      </c>
      <c r="B26" s="26">
        <v>104498</v>
      </c>
      <c r="C26" s="27" t="s">
        <v>64</v>
      </c>
      <c r="D26" s="28" t="s">
        <v>65</v>
      </c>
      <c r="E26" s="29" t="s">
        <v>66</v>
      </c>
      <c r="F26" s="35" t="s">
        <v>67</v>
      </c>
      <c r="G26" s="30">
        <v>108.5</v>
      </c>
      <c r="H26" s="36"/>
      <c r="I26" s="32">
        <f t="shared" si="1"/>
        <v>0</v>
      </c>
      <c r="J26" s="50">
        <v>108.5</v>
      </c>
      <c r="K26" s="51">
        <f>J26*H26</f>
        <v>0</v>
      </c>
      <c r="L26" s="40"/>
      <c r="M26" s="2"/>
    </row>
    <row r="27" spans="1:13" ht="22.15" hidden="1" customHeight="1" x14ac:dyDescent="0.25">
      <c r="A27" s="25">
        <v>8</v>
      </c>
      <c r="B27" s="26" t="s">
        <v>68</v>
      </c>
      <c r="C27" s="27" t="s">
        <v>69</v>
      </c>
      <c r="D27" s="28" t="s">
        <v>70</v>
      </c>
      <c r="E27" s="29" t="s">
        <v>71</v>
      </c>
      <c r="F27" s="35" t="s">
        <v>72</v>
      </c>
      <c r="G27" s="30">
        <v>31</v>
      </c>
      <c r="H27" s="36"/>
      <c r="I27" s="37">
        <f t="shared" si="1"/>
        <v>0</v>
      </c>
      <c r="J27" s="50"/>
      <c r="K27" s="51">
        <f t="shared" si="0"/>
        <v>0</v>
      </c>
      <c r="L27" s="40"/>
      <c r="M27" s="2"/>
    </row>
    <row r="28" spans="1:13" ht="22.15" hidden="1" customHeight="1" x14ac:dyDescent="0.25">
      <c r="A28" s="25">
        <v>9</v>
      </c>
      <c r="B28" s="26">
        <v>104407</v>
      </c>
      <c r="C28" s="27" t="s">
        <v>73</v>
      </c>
      <c r="D28" s="28" t="s">
        <v>73</v>
      </c>
      <c r="E28" s="29" t="s">
        <v>74</v>
      </c>
      <c r="F28" s="35" t="s">
        <v>75</v>
      </c>
      <c r="G28" s="30">
        <v>84.5</v>
      </c>
      <c r="H28" s="31"/>
      <c r="I28" s="32">
        <f t="shared" si="1"/>
        <v>0</v>
      </c>
      <c r="J28" s="53"/>
      <c r="K28" s="51">
        <f t="shared" si="0"/>
        <v>0</v>
      </c>
      <c r="L28" s="40"/>
      <c r="M28" s="2"/>
    </row>
    <row r="29" spans="1:13" ht="22.15" hidden="1" customHeight="1" x14ac:dyDescent="0.25">
      <c r="A29" s="25">
        <v>10</v>
      </c>
      <c r="B29" s="26">
        <v>104408</v>
      </c>
      <c r="C29" s="27" t="s">
        <v>76</v>
      </c>
      <c r="D29" s="28" t="s">
        <v>76</v>
      </c>
      <c r="E29" s="29" t="s">
        <v>77</v>
      </c>
      <c r="F29" s="35" t="s">
        <v>75</v>
      </c>
      <c r="G29" s="30">
        <v>116</v>
      </c>
      <c r="H29" s="31"/>
      <c r="I29" s="32">
        <f>G29*H29</f>
        <v>0</v>
      </c>
      <c r="J29" s="53"/>
      <c r="K29" s="51">
        <f t="shared" si="0"/>
        <v>0</v>
      </c>
      <c r="L29" s="40"/>
      <c r="M29" s="2"/>
    </row>
    <row r="30" spans="1:13" ht="22.15" hidden="1" customHeight="1" x14ac:dyDescent="0.25">
      <c r="A30" s="25">
        <v>38</v>
      </c>
      <c r="B30" s="26" t="s">
        <v>78</v>
      </c>
      <c r="C30" s="27" t="s">
        <v>79</v>
      </c>
      <c r="D30" s="28" t="s">
        <v>80</v>
      </c>
      <c r="E30" s="29" t="s">
        <v>81</v>
      </c>
      <c r="F30" s="35" t="s">
        <v>82</v>
      </c>
      <c r="G30" s="30">
        <v>25.9</v>
      </c>
      <c r="H30" s="31"/>
      <c r="I30" s="32">
        <f t="shared" si="1"/>
        <v>0</v>
      </c>
      <c r="J30" s="50"/>
      <c r="K30" s="51">
        <f t="shared" si="0"/>
        <v>0</v>
      </c>
      <c r="L30" s="40"/>
      <c r="M30" s="2"/>
    </row>
    <row r="31" spans="1:13" ht="22.15" customHeight="1" x14ac:dyDescent="0.25">
      <c r="A31" s="25">
        <v>11</v>
      </c>
      <c r="B31" s="26" t="s">
        <v>83</v>
      </c>
      <c r="C31" s="27" t="s">
        <v>84</v>
      </c>
      <c r="D31" s="28" t="s">
        <v>85</v>
      </c>
      <c r="E31" s="29" t="s">
        <v>86</v>
      </c>
      <c r="F31" s="35" t="s">
        <v>87</v>
      </c>
      <c r="G31" s="30">
        <v>54</v>
      </c>
      <c r="H31" s="31">
        <v>1</v>
      </c>
      <c r="I31" s="32">
        <f t="shared" si="1"/>
        <v>54</v>
      </c>
      <c r="J31" s="50">
        <v>54.4</v>
      </c>
      <c r="K31" s="51">
        <f t="shared" si="0"/>
        <v>54.4</v>
      </c>
      <c r="L31" s="40"/>
      <c r="M31" s="33"/>
    </row>
    <row r="32" spans="1:13" ht="22.15" hidden="1" customHeight="1" x14ac:dyDescent="0.25">
      <c r="A32" s="25">
        <v>13</v>
      </c>
      <c r="B32" s="26" t="s">
        <v>88</v>
      </c>
      <c r="C32" s="27" t="s">
        <v>89</v>
      </c>
      <c r="D32" s="28" t="s">
        <v>90</v>
      </c>
      <c r="E32" s="29" t="s">
        <v>91</v>
      </c>
      <c r="F32" s="35" t="s">
        <v>87</v>
      </c>
      <c r="G32" s="30">
        <v>35</v>
      </c>
      <c r="H32" s="36"/>
      <c r="I32" s="37">
        <f t="shared" si="1"/>
        <v>0</v>
      </c>
      <c r="J32" s="52">
        <v>17.5</v>
      </c>
      <c r="K32" s="51">
        <f t="shared" si="0"/>
        <v>0</v>
      </c>
      <c r="L32" s="40"/>
      <c r="M32" s="2"/>
    </row>
    <row r="33" spans="1:13" ht="22.15" hidden="1" customHeight="1" x14ac:dyDescent="0.25">
      <c r="A33" s="25">
        <v>14</v>
      </c>
      <c r="B33" s="26" t="s">
        <v>92</v>
      </c>
      <c r="C33" s="27" t="s">
        <v>93</v>
      </c>
      <c r="D33" s="28" t="s">
        <v>94</v>
      </c>
      <c r="E33" s="29" t="s">
        <v>95</v>
      </c>
      <c r="F33" s="35" t="s">
        <v>96</v>
      </c>
      <c r="G33" s="30">
        <v>38</v>
      </c>
      <c r="H33" s="31"/>
      <c r="I33" s="32">
        <f t="shared" si="1"/>
        <v>0</v>
      </c>
      <c r="J33" s="50">
        <v>35.299999999999997</v>
      </c>
      <c r="K33" s="51">
        <f t="shared" si="0"/>
        <v>0</v>
      </c>
      <c r="L33" s="41"/>
      <c r="M33" s="2"/>
    </row>
    <row r="34" spans="1:13" ht="22.15" hidden="1" customHeight="1" x14ac:dyDescent="0.25">
      <c r="A34" s="25">
        <v>15</v>
      </c>
      <c r="B34" s="26" t="s">
        <v>97</v>
      </c>
      <c r="C34" s="27" t="s">
        <v>98</v>
      </c>
      <c r="D34" s="28" t="s">
        <v>99</v>
      </c>
      <c r="E34" s="29" t="s">
        <v>100</v>
      </c>
      <c r="F34" s="35" t="s">
        <v>101</v>
      </c>
      <c r="G34" s="30">
        <v>24</v>
      </c>
      <c r="H34" s="36"/>
      <c r="I34" s="37">
        <f t="shared" si="1"/>
        <v>0</v>
      </c>
      <c r="J34" s="52"/>
      <c r="K34" s="51">
        <f t="shared" si="0"/>
        <v>0</v>
      </c>
      <c r="L34" s="40"/>
      <c r="M34" s="2"/>
    </row>
    <row r="35" spans="1:13" ht="22.15" hidden="1" customHeight="1" x14ac:dyDescent="0.25">
      <c r="A35" s="25">
        <v>16</v>
      </c>
      <c r="B35" s="26" t="s">
        <v>102</v>
      </c>
      <c r="C35" s="27" t="s">
        <v>103</v>
      </c>
      <c r="D35" s="28" t="s">
        <v>104</v>
      </c>
      <c r="E35" s="29" t="s">
        <v>105</v>
      </c>
      <c r="F35" s="35" t="s">
        <v>49</v>
      </c>
      <c r="G35" s="30">
        <v>21.4</v>
      </c>
      <c r="H35" s="31"/>
      <c r="I35" s="32">
        <f t="shared" si="1"/>
        <v>0</v>
      </c>
      <c r="J35" s="50">
        <v>20.3</v>
      </c>
      <c r="K35" s="51">
        <f t="shared" si="0"/>
        <v>0</v>
      </c>
      <c r="L35" s="40"/>
      <c r="M35" s="2"/>
    </row>
    <row r="36" spans="1:13" ht="22.15" hidden="1" customHeight="1" x14ac:dyDescent="0.25">
      <c r="A36" s="25">
        <v>17</v>
      </c>
      <c r="B36" s="26" t="s">
        <v>106</v>
      </c>
      <c r="C36" s="27" t="s">
        <v>107</v>
      </c>
      <c r="D36" s="28" t="s">
        <v>108</v>
      </c>
      <c r="E36" s="29" t="s">
        <v>109</v>
      </c>
      <c r="F36" s="35" t="s">
        <v>110</v>
      </c>
      <c r="G36" s="30">
        <v>13.7</v>
      </c>
      <c r="H36" s="31"/>
      <c r="I36" s="32">
        <f t="shared" si="1"/>
        <v>0</v>
      </c>
      <c r="J36" s="50">
        <v>13.7</v>
      </c>
      <c r="K36" s="51">
        <f t="shared" si="0"/>
        <v>0</v>
      </c>
      <c r="L36" s="42"/>
      <c r="M36" s="2"/>
    </row>
    <row r="37" spans="1:13" ht="22.15" hidden="1" customHeight="1" x14ac:dyDescent="0.25">
      <c r="A37" s="25">
        <v>18</v>
      </c>
      <c r="B37" s="26" t="s">
        <v>111</v>
      </c>
      <c r="C37" s="27" t="s">
        <v>112</v>
      </c>
      <c r="D37" s="28" t="s">
        <v>113</v>
      </c>
      <c r="E37" s="29" t="s">
        <v>105</v>
      </c>
      <c r="F37" s="35" t="s">
        <v>114</v>
      </c>
      <c r="G37" s="30">
        <v>42.8</v>
      </c>
      <c r="H37" s="31"/>
      <c r="I37" s="32">
        <f t="shared" si="1"/>
        <v>0</v>
      </c>
      <c r="J37" s="50">
        <v>42.8</v>
      </c>
      <c r="K37" s="51">
        <f t="shared" si="0"/>
        <v>0</v>
      </c>
      <c r="L37" s="40"/>
      <c r="M37" s="2"/>
    </row>
    <row r="38" spans="1:13" ht="22.15" hidden="1" customHeight="1" x14ac:dyDescent="0.25">
      <c r="A38" s="25">
        <v>19</v>
      </c>
      <c r="B38" s="26" t="s">
        <v>115</v>
      </c>
      <c r="C38" s="27" t="s">
        <v>116</v>
      </c>
      <c r="D38" s="28" t="s">
        <v>117</v>
      </c>
      <c r="E38" s="29" t="s">
        <v>118</v>
      </c>
      <c r="F38" s="35" t="s">
        <v>119</v>
      </c>
      <c r="G38" s="30">
        <v>27.8</v>
      </c>
      <c r="H38" s="31"/>
      <c r="I38" s="32">
        <f t="shared" si="1"/>
        <v>0</v>
      </c>
      <c r="J38" s="52"/>
      <c r="K38" s="51">
        <f t="shared" si="0"/>
        <v>0</v>
      </c>
      <c r="L38" s="40"/>
      <c r="M38" s="2"/>
    </row>
    <row r="39" spans="1:13" ht="22.15" hidden="1" customHeight="1" x14ac:dyDescent="0.25">
      <c r="A39" s="25">
        <v>20</v>
      </c>
      <c r="B39" s="26" t="s">
        <v>120</v>
      </c>
      <c r="C39" s="27" t="s">
        <v>121</v>
      </c>
      <c r="D39" s="28" t="s">
        <v>122</v>
      </c>
      <c r="E39" s="29" t="s">
        <v>123</v>
      </c>
      <c r="F39" s="35" t="s">
        <v>44</v>
      </c>
      <c r="G39" s="30">
        <v>112</v>
      </c>
      <c r="H39" s="31"/>
      <c r="I39" s="32">
        <f t="shared" si="1"/>
        <v>0</v>
      </c>
      <c r="J39" s="50">
        <v>112</v>
      </c>
      <c r="K39" s="51">
        <f t="shared" si="0"/>
        <v>0</v>
      </c>
      <c r="L39" s="40"/>
      <c r="M39" s="2" t="s">
        <v>124</v>
      </c>
    </row>
    <row r="40" spans="1:13" ht="22.15" hidden="1" customHeight="1" x14ac:dyDescent="0.25">
      <c r="A40" s="25">
        <v>21</v>
      </c>
      <c r="B40" s="26" t="s">
        <v>125</v>
      </c>
      <c r="C40" s="27" t="s">
        <v>126</v>
      </c>
      <c r="D40" s="28" t="s">
        <v>127</v>
      </c>
      <c r="E40" s="29" t="s">
        <v>128</v>
      </c>
      <c r="F40" s="35" t="s">
        <v>44</v>
      </c>
      <c r="G40" s="30">
        <v>173</v>
      </c>
      <c r="H40" s="31"/>
      <c r="I40" s="32">
        <f t="shared" si="1"/>
        <v>0</v>
      </c>
      <c r="J40" s="50">
        <v>86.5</v>
      </c>
      <c r="K40" s="51">
        <f t="shared" si="0"/>
        <v>0</v>
      </c>
      <c r="L40" s="40"/>
      <c r="M40" s="2"/>
    </row>
    <row r="41" spans="1:13" ht="22.15" hidden="1" customHeight="1" x14ac:dyDescent="0.25">
      <c r="A41" s="25">
        <v>48</v>
      </c>
      <c r="B41" s="26">
        <v>104584</v>
      </c>
      <c r="C41" s="27" t="s">
        <v>129</v>
      </c>
      <c r="D41" s="28" t="s">
        <v>130</v>
      </c>
      <c r="E41" s="29" t="s">
        <v>131</v>
      </c>
      <c r="F41" s="35" t="s">
        <v>132</v>
      </c>
      <c r="G41" s="30">
        <v>103.8</v>
      </c>
      <c r="H41" s="31"/>
      <c r="I41" s="32">
        <f t="shared" si="1"/>
        <v>0</v>
      </c>
      <c r="J41" s="50">
        <v>98.6</v>
      </c>
      <c r="K41" s="51">
        <f>J41*H41</f>
        <v>0</v>
      </c>
      <c r="L41" s="40"/>
      <c r="M41" s="2"/>
    </row>
    <row r="42" spans="1:13" ht="22.15" hidden="1" customHeight="1" x14ac:dyDescent="0.25">
      <c r="A42" s="25">
        <v>23</v>
      </c>
      <c r="B42" s="26" t="s">
        <v>133</v>
      </c>
      <c r="C42" s="27" t="s">
        <v>134</v>
      </c>
      <c r="D42" s="28" t="s">
        <v>135</v>
      </c>
      <c r="E42" s="29" t="s">
        <v>136</v>
      </c>
      <c r="F42" s="35" t="s">
        <v>137</v>
      </c>
      <c r="G42" s="30">
        <v>12</v>
      </c>
      <c r="H42" s="36"/>
      <c r="I42" s="32">
        <f t="shared" si="1"/>
        <v>0</v>
      </c>
      <c r="J42" s="52"/>
      <c r="K42" s="51">
        <f t="shared" si="0"/>
        <v>0</v>
      </c>
      <c r="L42" s="40"/>
      <c r="M42" s="2"/>
    </row>
    <row r="43" spans="1:13" ht="22.15" hidden="1" customHeight="1" x14ac:dyDescent="0.25">
      <c r="A43" s="25">
        <v>39</v>
      </c>
      <c r="B43" s="26" t="s">
        <v>138</v>
      </c>
      <c r="C43" s="27" t="s">
        <v>139</v>
      </c>
      <c r="D43" s="28" t="s">
        <v>140</v>
      </c>
      <c r="E43" s="29" t="s">
        <v>141</v>
      </c>
      <c r="F43" s="35" t="s">
        <v>142</v>
      </c>
      <c r="G43" s="30">
        <v>35</v>
      </c>
      <c r="H43" s="36"/>
      <c r="I43" s="32">
        <f t="shared" si="1"/>
        <v>0</v>
      </c>
      <c r="J43" s="50"/>
      <c r="K43" s="51">
        <f t="shared" si="0"/>
        <v>0</v>
      </c>
      <c r="L43" s="40"/>
      <c r="M43" s="2"/>
    </row>
    <row r="44" spans="1:13" ht="22.15" hidden="1" customHeight="1" x14ac:dyDescent="0.25">
      <c r="A44" s="25">
        <v>24</v>
      </c>
      <c r="B44" s="26" t="s">
        <v>143</v>
      </c>
      <c r="C44" s="27" t="s">
        <v>144</v>
      </c>
      <c r="D44" s="28" t="s">
        <v>145</v>
      </c>
      <c r="E44" s="29" t="s">
        <v>146</v>
      </c>
      <c r="F44" s="35" t="s">
        <v>147</v>
      </c>
      <c r="G44" s="30">
        <v>17</v>
      </c>
      <c r="H44" s="31"/>
      <c r="I44" s="32">
        <f t="shared" si="1"/>
        <v>0</v>
      </c>
      <c r="J44" s="52"/>
      <c r="K44" s="51">
        <f t="shared" si="0"/>
        <v>0</v>
      </c>
      <c r="L44" s="40"/>
      <c r="M44" s="2"/>
    </row>
    <row r="45" spans="1:13" ht="22.15" hidden="1" customHeight="1" x14ac:dyDescent="0.25">
      <c r="A45" s="25">
        <v>49</v>
      </c>
      <c r="B45" s="26">
        <v>104488</v>
      </c>
      <c r="C45" s="27" t="s">
        <v>148</v>
      </c>
      <c r="D45" s="28" t="s">
        <v>149</v>
      </c>
      <c r="E45" s="29" t="s">
        <v>150</v>
      </c>
      <c r="F45" s="35" t="s">
        <v>151</v>
      </c>
      <c r="G45" s="30">
        <v>34.6</v>
      </c>
      <c r="H45" s="31"/>
      <c r="I45" s="32">
        <f t="shared" si="1"/>
        <v>0</v>
      </c>
      <c r="J45" s="52"/>
      <c r="K45" s="51">
        <f t="shared" si="0"/>
        <v>0</v>
      </c>
      <c r="L45" s="40"/>
      <c r="M45" s="2"/>
    </row>
    <row r="46" spans="1:13" ht="22.15" hidden="1" customHeight="1" x14ac:dyDescent="0.25">
      <c r="A46" s="25">
        <v>25</v>
      </c>
      <c r="B46" s="26" t="s">
        <v>152</v>
      </c>
      <c r="C46" s="27" t="s">
        <v>153</v>
      </c>
      <c r="D46" s="28" t="s">
        <v>154</v>
      </c>
      <c r="E46" s="29" t="s">
        <v>155</v>
      </c>
      <c r="F46" s="35" t="s">
        <v>142</v>
      </c>
      <c r="G46" s="30">
        <v>47.3</v>
      </c>
      <c r="H46" s="31"/>
      <c r="I46" s="32"/>
      <c r="J46" s="50"/>
      <c r="K46" s="51">
        <f t="shared" si="0"/>
        <v>0</v>
      </c>
      <c r="L46" s="40"/>
      <c r="M46" s="2"/>
    </row>
    <row r="47" spans="1:13" ht="22.15" hidden="1" customHeight="1" x14ac:dyDescent="0.25">
      <c r="A47" s="25">
        <v>44</v>
      </c>
      <c r="B47" s="26">
        <v>104483</v>
      </c>
      <c r="C47" s="27" t="s">
        <v>156</v>
      </c>
      <c r="D47" s="28" t="s">
        <v>157</v>
      </c>
      <c r="E47" s="29" t="s">
        <v>136</v>
      </c>
      <c r="F47" s="35" t="s">
        <v>158</v>
      </c>
      <c r="G47" s="30">
        <v>21</v>
      </c>
      <c r="H47" s="31"/>
      <c r="I47" s="32">
        <f>G47*H47</f>
        <v>0</v>
      </c>
      <c r="J47" s="52"/>
      <c r="K47" s="51">
        <f t="shared" si="0"/>
        <v>0</v>
      </c>
      <c r="L47" s="40"/>
      <c r="M47" s="2"/>
    </row>
    <row r="48" spans="1:13" ht="22.15" hidden="1" customHeight="1" x14ac:dyDescent="0.25">
      <c r="A48" s="25">
        <v>50</v>
      </c>
      <c r="B48" s="26">
        <v>104489</v>
      </c>
      <c r="C48" s="27" t="s">
        <v>159</v>
      </c>
      <c r="D48" s="28" t="s">
        <v>160</v>
      </c>
      <c r="E48" s="29" t="s">
        <v>161</v>
      </c>
      <c r="F48" s="35" t="s">
        <v>162</v>
      </c>
      <c r="G48" s="30">
        <v>30</v>
      </c>
      <c r="H48" s="31"/>
      <c r="I48" s="32">
        <f>G48*H48</f>
        <v>0</v>
      </c>
      <c r="J48" s="50">
        <v>28.5</v>
      </c>
      <c r="K48" s="51">
        <f t="shared" si="0"/>
        <v>0</v>
      </c>
      <c r="L48" s="40"/>
      <c r="M48" s="2"/>
    </row>
    <row r="49" spans="1:13" ht="22.15" hidden="1" customHeight="1" x14ac:dyDescent="0.25">
      <c r="A49" s="25">
        <v>26</v>
      </c>
      <c r="B49" s="26" t="s">
        <v>163</v>
      </c>
      <c r="C49" s="27" t="s">
        <v>164</v>
      </c>
      <c r="D49" s="28" t="s">
        <v>165</v>
      </c>
      <c r="E49" s="29" t="s">
        <v>166</v>
      </c>
      <c r="F49" s="35" t="s">
        <v>167</v>
      </c>
      <c r="G49" s="30">
        <v>23.8</v>
      </c>
      <c r="H49" s="31"/>
      <c r="I49" s="32">
        <f>G49*H49</f>
        <v>0</v>
      </c>
      <c r="J49" s="52">
        <v>23.8</v>
      </c>
      <c r="K49" s="51">
        <f>J49*H49</f>
        <v>0</v>
      </c>
      <c r="L49" s="40"/>
      <c r="M49" s="2"/>
    </row>
    <row r="50" spans="1:13" ht="22.15" hidden="1" customHeight="1" x14ac:dyDescent="0.25">
      <c r="A50" s="25">
        <v>40</v>
      </c>
      <c r="B50" s="26" t="s">
        <v>168</v>
      </c>
      <c r="C50" s="27" t="s">
        <v>169</v>
      </c>
      <c r="D50" s="28" t="s">
        <v>170</v>
      </c>
      <c r="E50" s="29" t="s">
        <v>171</v>
      </c>
      <c r="F50" s="35" t="s">
        <v>172</v>
      </c>
      <c r="G50" s="30">
        <v>15</v>
      </c>
      <c r="H50" s="31"/>
      <c r="I50" s="32">
        <f>G50*H50</f>
        <v>0</v>
      </c>
      <c r="J50" s="52"/>
      <c r="K50" s="51">
        <f t="shared" si="0"/>
        <v>0</v>
      </c>
      <c r="L50" s="40"/>
      <c r="M50" s="2"/>
    </row>
    <row r="51" spans="1:13" ht="22.15" customHeight="1" x14ac:dyDescent="0.25">
      <c r="A51" s="25">
        <v>27</v>
      </c>
      <c r="B51" s="26" t="s">
        <v>173</v>
      </c>
      <c r="C51" s="27" t="s">
        <v>174</v>
      </c>
      <c r="D51" s="28" t="s">
        <v>175</v>
      </c>
      <c r="E51" s="29" t="s">
        <v>176</v>
      </c>
      <c r="F51" s="35" t="s">
        <v>177</v>
      </c>
      <c r="G51" s="30">
        <v>19</v>
      </c>
      <c r="H51" s="31">
        <v>3</v>
      </c>
      <c r="I51" s="32">
        <f t="shared" si="1"/>
        <v>57</v>
      </c>
      <c r="J51" s="50">
        <v>19</v>
      </c>
      <c r="K51" s="51">
        <f t="shared" si="0"/>
        <v>57</v>
      </c>
      <c r="L51" s="40"/>
      <c r="M51" s="2"/>
    </row>
    <row r="52" spans="1:13" ht="22.15" hidden="1" customHeight="1" x14ac:dyDescent="0.25">
      <c r="A52" s="25">
        <v>28</v>
      </c>
      <c r="B52" s="26" t="s">
        <v>178</v>
      </c>
      <c r="C52" s="27" t="s">
        <v>179</v>
      </c>
      <c r="D52" s="28" t="s">
        <v>180</v>
      </c>
      <c r="E52" s="29" t="s">
        <v>181</v>
      </c>
      <c r="F52" s="35" t="s">
        <v>182</v>
      </c>
      <c r="G52" s="30">
        <v>39</v>
      </c>
      <c r="H52" s="36"/>
      <c r="I52" s="37">
        <f t="shared" si="1"/>
        <v>0</v>
      </c>
      <c r="J52" s="52"/>
      <c r="K52" s="51">
        <f t="shared" si="0"/>
        <v>0</v>
      </c>
      <c r="L52" s="40"/>
      <c r="M52" s="2"/>
    </row>
    <row r="53" spans="1:13" ht="22.15" hidden="1" customHeight="1" x14ac:dyDescent="0.25">
      <c r="A53" s="25">
        <v>29</v>
      </c>
      <c r="B53" s="26" t="s">
        <v>183</v>
      </c>
      <c r="C53" s="27" t="s">
        <v>184</v>
      </c>
      <c r="D53" s="28" t="s">
        <v>185</v>
      </c>
      <c r="E53" s="29" t="s">
        <v>186</v>
      </c>
      <c r="F53" s="35" t="s">
        <v>187</v>
      </c>
      <c r="G53" s="30">
        <v>41.8</v>
      </c>
      <c r="H53" s="31"/>
      <c r="I53" s="32">
        <f t="shared" si="1"/>
        <v>0</v>
      </c>
      <c r="J53" s="50">
        <v>41.8</v>
      </c>
      <c r="K53" s="51">
        <f t="shared" si="0"/>
        <v>0</v>
      </c>
      <c r="L53" s="40"/>
      <c r="M53" s="2"/>
    </row>
    <row r="54" spans="1:13" ht="22.15" hidden="1" customHeight="1" x14ac:dyDescent="0.25">
      <c r="A54" s="25">
        <v>30</v>
      </c>
      <c r="B54" s="26" t="s">
        <v>188</v>
      </c>
      <c r="C54" s="27" t="s">
        <v>189</v>
      </c>
      <c r="D54" s="28" t="s">
        <v>190</v>
      </c>
      <c r="E54" s="29" t="s">
        <v>191</v>
      </c>
      <c r="F54" s="35" t="s">
        <v>192</v>
      </c>
      <c r="G54" s="30">
        <v>25</v>
      </c>
      <c r="H54" s="31"/>
      <c r="I54" s="32">
        <f t="shared" si="1"/>
        <v>0</v>
      </c>
      <c r="J54" s="50">
        <v>25</v>
      </c>
      <c r="K54" s="51">
        <f t="shared" si="0"/>
        <v>0</v>
      </c>
      <c r="L54" s="40"/>
      <c r="M54" s="2"/>
    </row>
    <row r="55" spans="1:13" ht="22.15" hidden="1" customHeight="1" x14ac:dyDescent="0.25">
      <c r="A55" s="25">
        <v>42</v>
      </c>
      <c r="B55" s="26" t="s">
        <v>193</v>
      </c>
      <c r="C55" s="27" t="s">
        <v>194</v>
      </c>
      <c r="D55" s="28" t="s">
        <v>195</v>
      </c>
      <c r="E55" s="29" t="s">
        <v>196</v>
      </c>
      <c r="F55" s="35" t="s">
        <v>197</v>
      </c>
      <c r="G55" s="30">
        <v>24.7</v>
      </c>
      <c r="H55" s="36"/>
      <c r="I55" s="37">
        <f t="shared" si="1"/>
        <v>0</v>
      </c>
      <c r="J55" s="52">
        <v>24.7</v>
      </c>
      <c r="K55" s="51">
        <f t="shared" si="0"/>
        <v>0</v>
      </c>
      <c r="L55" s="40"/>
      <c r="M55" s="2"/>
    </row>
    <row r="56" spans="1:13" ht="25.5" hidden="1" x14ac:dyDescent="0.25">
      <c r="A56" s="25">
        <v>51</v>
      </c>
      <c r="B56" s="26">
        <v>104592</v>
      </c>
      <c r="C56" s="27" t="s">
        <v>198</v>
      </c>
      <c r="D56" s="28" t="s">
        <v>199</v>
      </c>
      <c r="E56" s="29" t="s">
        <v>200</v>
      </c>
      <c r="F56" s="35" t="s">
        <v>201</v>
      </c>
      <c r="G56" s="30">
        <v>18</v>
      </c>
      <c r="H56" s="31"/>
      <c r="I56" s="32">
        <f t="shared" si="1"/>
        <v>0</v>
      </c>
      <c r="J56" s="50"/>
      <c r="K56" s="51">
        <f t="shared" si="0"/>
        <v>0</v>
      </c>
      <c r="L56" s="40"/>
    </row>
    <row r="57" spans="1:13" ht="22.15" hidden="1" customHeight="1" x14ac:dyDescent="0.25">
      <c r="A57" s="25">
        <v>45</v>
      </c>
      <c r="B57" s="26">
        <v>55374</v>
      </c>
      <c r="C57" s="27" t="s">
        <v>202</v>
      </c>
      <c r="D57" s="28" t="s">
        <v>203</v>
      </c>
      <c r="E57" s="29" t="s">
        <v>204</v>
      </c>
      <c r="F57" s="35" t="s">
        <v>205</v>
      </c>
      <c r="G57" s="30">
        <v>76.900000000000006</v>
      </c>
      <c r="H57" s="31"/>
      <c r="I57" s="32">
        <f>+H57*G57</f>
        <v>0</v>
      </c>
      <c r="J57" s="50">
        <v>7.31</v>
      </c>
      <c r="K57" s="51">
        <f t="shared" si="0"/>
        <v>0</v>
      </c>
      <c r="L57" s="40"/>
      <c r="M57" s="2"/>
    </row>
    <row r="58" spans="1:13" ht="22.15" hidden="1" customHeight="1" x14ac:dyDescent="0.25">
      <c r="A58" s="25">
        <v>43</v>
      </c>
      <c r="B58" s="26" t="s">
        <v>206</v>
      </c>
      <c r="C58" s="27" t="s">
        <v>207</v>
      </c>
      <c r="D58" s="28" t="s">
        <v>208</v>
      </c>
      <c r="E58" s="29" t="s">
        <v>209</v>
      </c>
      <c r="F58" s="35" t="s">
        <v>44</v>
      </c>
      <c r="G58" s="30">
        <v>80</v>
      </c>
      <c r="H58" s="31"/>
      <c r="I58" s="37">
        <f t="shared" si="1"/>
        <v>0</v>
      </c>
      <c r="J58" s="50">
        <v>56</v>
      </c>
      <c r="K58" s="51">
        <f t="shared" si="0"/>
        <v>0</v>
      </c>
      <c r="L58" s="40"/>
      <c r="M58" s="2" t="s">
        <v>210</v>
      </c>
    </row>
    <row r="59" spans="1:13" ht="22.15" hidden="1" customHeight="1" x14ac:dyDescent="0.25">
      <c r="A59" s="25">
        <v>41</v>
      </c>
      <c r="B59" s="26" t="s">
        <v>211</v>
      </c>
      <c r="C59" s="27" t="s">
        <v>212</v>
      </c>
      <c r="D59" s="28" t="s">
        <v>213</v>
      </c>
      <c r="E59" s="29" t="s">
        <v>214</v>
      </c>
      <c r="F59" s="35" t="s">
        <v>44</v>
      </c>
      <c r="G59" s="30">
        <v>121</v>
      </c>
      <c r="H59" s="31"/>
      <c r="I59" s="37">
        <f t="shared" si="1"/>
        <v>0</v>
      </c>
      <c r="J59" s="50">
        <v>84.7</v>
      </c>
      <c r="K59" s="51">
        <f t="shared" si="0"/>
        <v>0</v>
      </c>
      <c r="L59" s="40"/>
      <c r="M59" s="2" t="s">
        <v>210</v>
      </c>
    </row>
    <row r="60" spans="1:13" ht="22.15" hidden="1" customHeight="1" x14ac:dyDescent="0.25">
      <c r="A60" s="25">
        <v>46</v>
      </c>
      <c r="B60" s="26">
        <v>104585</v>
      </c>
      <c r="C60" s="27" t="s">
        <v>215</v>
      </c>
      <c r="D60" s="28" t="s">
        <v>216</v>
      </c>
      <c r="E60" s="29" t="s">
        <v>217</v>
      </c>
      <c r="F60" s="35" t="s">
        <v>218</v>
      </c>
      <c r="G60" s="30">
        <v>173.1</v>
      </c>
      <c r="H60" s="31"/>
      <c r="I60" s="32">
        <f t="shared" si="1"/>
        <v>0</v>
      </c>
      <c r="J60" s="52"/>
      <c r="K60" s="51">
        <f t="shared" si="0"/>
        <v>0</v>
      </c>
      <c r="L60" s="40"/>
      <c r="M60" s="2"/>
    </row>
    <row r="61" spans="1:13" ht="22.15" hidden="1" customHeight="1" x14ac:dyDescent="0.25">
      <c r="A61" s="25">
        <v>31</v>
      </c>
      <c r="B61" s="26" t="s">
        <v>219</v>
      </c>
      <c r="C61" s="27" t="s">
        <v>220</v>
      </c>
      <c r="D61" s="28" t="s">
        <v>221</v>
      </c>
      <c r="E61" s="29" t="s">
        <v>222</v>
      </c>
      <c r="F61" s="35" t="s">
        <v>223</v>
      </c>
      <c r="G61" s="30">
        <v>29</v>
      </c>
      <c r="H61" s="31"/>
      <c r="I61" s="32">
        <f t="shared" si="1"/>
        <v>0</v>
      </c>
      <c r="J61" s="50">
        <v>29</v>
      </c>
      <c r="K61" s="51">
        <f t="shared" si="0"/>
        <v>0</v>
      </c>
      <c r="L61" s="40"/>
      <c r="M61" s="2"/>
    </row>
    <row r="62" spans="1:13" ht="22.15" hidden="1" customHeight="1" x14ac:dyDescent="0.25">
      <c r="A62" s="25">
        <v>32</v>
      </c>
      <c r="B62" s="26" t="s">
        <v>224</v>
      </c>
      <c r="C62" s="27" t="s">
        <v>225</v>
      </c>
      <c r="D62" s="28" t="s">
        <v>226</v>
      </c>
      <c r="E62" s="29" t="s">
        <v>227</v>
      </c>
      <c r="F62" s="35" t="s">
        <v>228</v>
      </c>
      <c r="G62" s="30">
        <v>26</v>
      </c>
      <c r="H62" s="31"/>
      <c r="I62" s="32">
        <f>G62*H62</f>
        <v>0</v>
      </c>
      <c r="J62" s="50">
        <v>26</v>
      </c>
      <c r="K62" s="51">
        <f t="shared" si="0"/>
        <v>0</v>
      </c>
      <c r="L62" s="40"/>
      <c r="M62" s="2"/>
    </row>
    <row r="63" spans="1:13" ht="22.15" hidden="1" customHeight="1" x14ac:dyDescent="0.25">
      <c r="A63" s="25">
        <v>33</v>
      </c>
      <c r="B63" s="26" t="s">
        <v>229</v>
      </c>
      <c r="C63" s="27" t="s">
        <v>230</v>
      </c>
      <c r="D63" s="28" t="s">
        <v>231</v>
      </c>
      <c r="E63" s="29" t="s">
        <v>232</v>
      </c>
      <c r="F63" s="35" t="s">
        <v>63</v>
      </c>
      <c r="G63" s="30">
        <v>59</v>
      </c>
      <c r="H63" s="31"/>
      <c r="I63" s="32">
        <f t="shared" si="1"/>
        <v>0</v>
      </c>
      <c r="J63" s="50"/>
      <c r="K63" s="51">
        <f t="shared" si="0"/>
        <v>0</v>
      </c>
      <c r="L63" s="40"/>
      <c r="M63" s="2"/>
    </row>
    <row r="64" spans="1:13" ht="22.15" hidden="1" customHeight="1" x14ac:dyDescent="0.25">
      <c r="A64" s="25">
        <v>34</v>
      </c>
      <c r="B64" s="26" t="s">
        <v>233</v>
      </c>
      <c r="C64" s="27" t="s">
        <v>234</v>
      </c>
      <c r="D64" s="28" t="s">
        <v>235</v>
      </c>
      <c r="E64" s="29" t="s">
        <v>236</v>
      </c>
      <c r="F64" s="35" t="s">
        <v>67</v>
      </c>
      <c r="G64" s="30">
        <v>82</v>
      </c>
      <c r="H64" s="31"/>
      <c r="I64" s="32">
        <f t="shared" si="1"/>
        <v>0</v>
      </c>
      <c r="J64" s="53"/>
      <c r="K64" s="51">
        <f t="shared" si="0"/>
        <v>0</v>
      </c>
      <c r="L64" s="40"/>
      <c r="M64" s="2"/>
    </row>
    <row r="65" spans="1:13" ht="22.15" hidden="1" customHeight="1" x14ac:dyDescent="0.25">
      <c r="A65" s="25">
        <v>35</v>
      </c>
      <c r="B65" s="26" t="s">
        <v>237</v>
      </c>
      <c r="C65" s="27" t="s">
        <v>238</v>
      </c>
      <c r="D65" s="28" t="s">
        <v>239</v>
      </c>
      <c r="E65" s="29" t="s">
        <v>240</v>
      </c>
      <c r="F65" s="35" t="s">
        <v>187</v>
      </c>
      <c r="G65" s="30">
        <v>69</v>
      </c>
      <c r="H65" s="31"/>
      <c r="I65" s="32">
        <f t="shared" si="1"/>
        <v>0</v>
      </c>
      <c r="J65" s="50">
        <v>69</v>
      </c>
      <c r="K65" s="51">
        <f t="shared" si="0"/>
        <v>0</v>
      </c>
      <c r="L65" s="40"/>
      <c r="M65" s="2"/>
    </row>
    <row r="66" spans="1:13" ht="25.5" hidden="1" customHeight="1" x14ac:dyDescent="0.25">
      <c r="A66" s="25">
        <v>36</v>
      </c>
      <c r="B66" s="26" t="s">
        <v>241</v>
      </c>
      <c r="C66" s="27" t="s">
        <v>242</v>
      </c>
      <c r="D66" s="28" t="s">
        <v>243</v>
      </c>
      <c r="E66" s="29" t="s">
        <v>244</v>
      </c>
      <c r="F66" s="35" t="s">
        <v>44</v>
      </c>
      <c r="G66" s="30">
        <v>69</v>
      </c>
      <c r="H66" s="31"/>
      <c r="I66" s="32">
        <f t="shared" si="1"/>
        <v>0</v>
      </c>
      <c r="J66" s="50"/>
      <c r="K66" s="51">
        <f t="shared" ref="K66:K67" si="2">J66*H66</f>
        <v>0</v>
      </c>
      <c r="L66" s="40"/>
      <c r="M66" s="2"/>
    </row>
    <row r="67" spans="1:13" ht="25.5" hidden="1" customHeight="1" x14ac:dyDescent="0.25">
      <c r="A67" s="25">
        <v>37</v>
      </c>
      <c r="B67" s="26" t="s">
        <v>245</v>
      </c>
      <c r="C67" s="27" t="s">
        <v>246</v>
      </c>
      <c r="D67" s="28" t="s">
        <v>247</v>
      </c>
      <c r="E67" s="29" t="s">
        <v>248</v>
      </c>
      <c r="F67" s="35" t="s">
        <v>44</v>
      </c>
      <c r="G67" s="30">
        <v>107</v>
      </c>
      <c r="H67" s="31"/>
      <c r="I67" s="32">
        <f t="shared" si="1"/>
        <v>0</v>
      </c>
      <c r="J67" s="50"/>
      <c r="K67" s="51">
        <f t="shared" si="2"/>
        <v>0</v>
      </c>
      <c r="L67" s="40"/>
      <c r="M67" s="2"/>
    </row>
    <row r="68" spans="1:13" hidden="1" x14ac:dyDescent="0.25">
      <c r="A68" s="16"/>
      <c r="B68" s="17"/>
      <c r="C68" s="18"/>
      <c r="D68" s="19"/>
      <c r="E68" s="20"/>
      <c r="F68" s="20"/>
      <c r="G68" s="21"/>
      <c r="M68" s="2"/>
    </row>
    <row r="69" spans="1:13" x14ac:dyDescent="0.25">
      <c r="H69" s="6" t="s">
        <v>249</v>
      </c>
      <c r="I69" s="6" t="s">
        <v>250</v>
      </c>
      <c r="M69" s="2"/>
    </row>
    <row r="70" spans="1:13" ht="18.75" x14ac:dyDescent="0.3">
      <c r="G70" s="9" t="s">
        <v>251</v>
      </c>
      <c r="H70" s="8">
        <f>SUM(H19:H67)</f>
        <v>10</v>
      </c>
      <c r="I70" s="10">
        <f>SUM(I19:I67)</f>
        <v>472.79999999999995</v>
      </c>
      <c r="K70" s="10">
        <f>SUM(K19:K67)</f>
        <v>458.19999999999993</v>
      </c>
      <c r="M70" s="2"/>
    </row>
    <row r="72" spans="1:13" ht="24" customHeight="1" x14ac:dyDescent="0.3">
      <c r="G72" s="9" t="s">
        <v>252</v>
      </c>
      <c r="H72" s="54">
        <f>+I72/I70</f>
        <v>3.0879864636209866E-2</v>
      </c>
      <c r="I72" s="10">
        <f>+I70-K70</f>
        <v>14.600000000000023</v>
      </c>
      <c r="J72" s="24"/>
    </row>
    <row r="73" spans="1:13" ht="38.1" customHeight="1" x14ac:dyDescent="0.3">
      <c r="G73" s="47" t="s">
        <v>253</v>
      </c>
      <c r="H73" s="55"/>
      <c r="I73" s="48">
        <f>K70*0.03</f>
        <v>13.745999999999997</v>
      </c>
      <c r="J73" s="24"/>
    </row>
    <row r="75" spans="1:13" ht="21" x14ac:dyDescent="0.35">
      <c r="G75" s="57" t="s">
        <v>254</v>
      </c>
      <c r="H75" s="58"/>
      <c r="I75" s="49">
        <f>K70*0.97</f>
        <v>444.45399999999989</v>
      </c>
    </row>
    <row r="76" spans="1:13" x14ac:dyDescent="0.25">
      <c r="J76" s="23"/>
      <c r="K76" s="23"/>
    </row>
  </sheetData>
  <autoFilter ref="A18:I70" xr:uid="{EA963B96-B5D1-45B1-9108-2C216E6C5FE5}">
    <filterColumn colId="7">
      <filters>
        <filter val="1"/>
        <filter val="10"/>
        <filter val="3"/>
        <filter val="Unidades"/>
      </filters>
    </filterColumn>
  </autoFilter>
  <mergeCells count="12">
    <mergeCell ref="G75:H75"/>
    <mergeCell ref="H7:I15"/>
    <mergeCell ref="A10:B10"/>
    <mergeCell ref="G7:G15"/>
    <mergeCell ref="A7:B7"/>
    <mergeCell ref="A8:B8"/>
    <mergeCell ref="A9:B9"/>
    <mergeCell ref="A11:B11"/>
    <mergeCell ref="A13:B13"/>
    <mergeCell ref="A14:B14"/>
    <mergeCell ref="A15:B15"/>
    <mergeCell ref="A16:B16"/>
  </mergeCells>
  <pageMargins left="0.70866141732283472" right="0.70866141732283472" top="0.74803149606299213" bottom="0.74803149606299213" header="0.31496062992125984" footer="0.31496062992125984"/>
  <pageSetup scale="6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840A-2D52-43EF-A0A2-AAEB886ADED5}">
  <dimension ref="A2:D17"/>
  <sheetViews>
    <sheetView workbookViewId="0">
      <selection activeCell="F16" sqref="F16"/>
    </sheetView>
  </sheetViews>
  <sheetFormatPr baseColWidth="10" defaultColWidth="11.42578125" defaultRowHeight="15" x14ac:dyDescent="0.25"/>
  <cols>
    <col min="1" max="1" width="13.7109375" customWidth="1"/>
    <col min="2" max="2" width="20.85546875" customWidth="1"/>
    <col min="3" max="3" width="22.7109375" customWidth="1"/>
    <col min="4" max="4" width="18.28515625" customWidth="1"/>
  </cols>
  <sheetData>
    <row r="2" spans="1:4" x14ac:dyDescent="0.25">
      <c r="A2" s="1" t="s">
        <v>6</v>
      </c>
      <c r="B2" s="1" t="s">
        <v>255</v>
      </c>
      <c r="C2" s="1" t="s">
        <v>8</v>
      </c>
      <c r="D2" s="1" t="s">
        <v>12</v>
      </c>
    </row>
    <row r="3" spans="1:4" x14ac:dyDescent="0.25">
      <c r="A3" t="s">
        <v>256</v>
      </c>
      <c r="B3" t="s">
        <v>7</v>
      </c>
      <c r="C3" t="s">
        <v>257</v>
      </c>
      <c r="D3" t="s">
        <v>258</v>
      </c>
    </row>
    <row r="4" spans="1:4" x14ac:dyDescent="0.25">
      <c r="A4" t="s">
        <v>259</v>
      </c>
      <c r="B4" t="s">
        <v>260</v>
      </c>
      <c r="C4" t="s">
        <v>261</v>
      </c>
      <c r="D4" t="s">
        <v>262</v>
      </c>
    </row>
    <row r="5" spans="1:4" x14ac:dyDescent="0.25">
      <c r="A5" t="s">
        <v>263</v>
      </c>
      <c r="B5" t="s">
        <v>264</v>
      </c>
      <c r="C5" t="s">
        <v>265</v>
      </c>
      <c r="D5" t="s">
        <v>13</v>
      </c>
    </row>
    <row r="6" spans="1:4" x14ac:dyDescent="0.25">
      <c r="A6" t="s">
        <v>266</v>
      </c>
      <c r="B6" t="s">
        <v>267</v>
      </c>
      <c r="C6" t="s">
        <v>268</v>
      </c>
    </row>
    <row r="7" spans="1:4" x14ac:dyDescent="0.25">
      <c r="A7" t="s">
        <v>269</v>
      </c>
      <c r="B7" t="s">
        <v>270</v>
      </c>
      <c r="C7" t="s">
        <v>271</v>
      </c>
    </row>
    <row r="8" spans="1:4" x14ac:dyDescent="0.25">
      <c r="B8" t="s">
        <v>272</v>
      </c>
      <c r="C8" t="s">
        <v>273</v>
      </c>
    </row>
    <row r="9" spans="1:4" x14ac:dyDescent="0.25">
      <c r="B9" t="s">
        <v>269</v>
      </c>
      <c r="C9" t="s">
        <v>274</v>
      </c>
    </row>
    <row r="10" spans="1:4" x14ac:dyDescent="0.25">
      <c r="C10" t="s">
        <v>275</v>
      </c>
    </row>
    <row r="11" spans="1:4" x14ac:dyDescent="0.25">
      <c r="C11" t="s">
        <v>276</v>
      </c>
    </row>
    <row r="12" spans="1:4" x14ac:dyDescent="0.25">
      <c r="C12" t="s">
        <v>277</v>
      </c>
    </row>
    <row r="13" spans="1:4" x14ac:dyDescent="0.25">
      <c r="C13" t="s">
        <v>278</v>
      </c>
    </row>
    <row r="14" spans="1:4" x14ac:dyDescent="0.25">
      <c r="C14" t="s">
        <v>279</v>
      </c>
    </row>
    <row r="15" spans="1:4" x14ac:dyDescent="0.25">
      <c r="C15" t="s">
        <v>280</v>
      </c>
    </row>
    <row r="16" spans="1:4" x14ac:dyDescent="0.25">
      <c r="C16" t="s">
        <v>281</v>
      </c>
    </row>
    <row r="17" spans="3:3" x14ac:dyDescent="0.25">
      <c r="C17" t="s">
        <v>282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6E10D445F16F4CAA3022E10B7A6129" ma:contentTypeVersion="15" ma:contentTypeDescription="Crear nuevo documento." ma:contentTypeScope="" ma:versionID="8051fe5793719de6f38a7e3e13fa2ed8">
  <xsd:schema xmlns:xsd="http://www.w3.org/2001/XMLSchema" xmlns:xs="http://www.w3.org/2001/XMLSchema" xmlns:p="http://schemas.microsoft.com/office/2006/metadata/properties" xmlns:ns2="f3448a26-b10c-45d7-8268-10ca9f672b08" xmlns:ns3="67d27244-406a-4bf5-94cb-88e560283a57" targetNamespace="http://schemas.microsoft.com/office/2006/metadata/properties" ma:root="true" ma:fieldsID="02dbebd1bf9df538e928940a6cdb11e8" ns2:_="" ns3:_="">
    <xsd:import namespace="f3448a26-b10c-45d7-8268-10ca9f672b08"/>
    <xsd:import namespace="67d27244-406a-4bf5-94cb-88e560283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48a26-b10c-45d7-8268-10ca9f672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d2c6172-d939-4645-b96d-bb3a1a0263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27244-406a-4bf5-94cb-88e560283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1137136-3116-4513-9c9c-0ee6ef26f5a5}" ma:internalName="TaxCatchAll" ma:showField="CatchAllData" ma:web="67d27244-406a-4bf5-94cb-88e560283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48a26-b10c-45d7-8268-10ca9f672b08">
      <Terms xmlns="http://schemas.microsoft.com/office/infopath/2007/PartnerControls"/>
    </lcf76f155ced4ddcb4097134ff3c332f>
    <TaxCatchAll xmlns="67d27244-406a-4bf5-94cb-88e560283a57" xsi:nil="true"/>
  </documentManagement>
</p:properties>
</file>

<file path=customXml/itemProps1.xml><?xml version="1.0" encoding="utf-8"?>
<ds:datastoreItem xmlns:ds="http://schemas.openxmlformats.org/officeDocument/2006/customXml" ds:itemID="{91BF22A6-A080-4BAC-9E9F-8A6453CA1A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448a26-b10c-45d7-8268-10ca9f672b08"/>
    <ds:schemaRef ds:uri="67d27244-406a-4bf5-94cb-88e560283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9231FB-257E-4CF9-84DC-9D160F96B2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FAD453-1338-4483-92BE-1822A720CCAD}">
  <ds:schemaRefs>
    <ds:schemaRef ds:uri="http://schemas.microsoft.com/office/2006/metadata/properties"/>
    <ds:schemaRef ds:uri="http://schemas.microsoft.com/office/infopath/2007/PartnerControls"/>
    <ds:schemaRef ds:uri="f3448a26-b10c-45d7-8268-10ca9f672b08"/>
    <ds:schemaRef ds:uri="67d27244-406a-4bf5-94cb-88e560283a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COPIA</vt:lpstr>
      <vt:lpstr>HOJA DE PEDIDO ACES</vt:lpstr>
      <vt:lpstr>datos DIST</vt:lpstr>
      <vt:lpstr>'HOJA DE PEDIDO ACES'!Área_de_impresión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Linnette Gonzales Apaza</dc:creator>
  <cp:keywords/>
  <dc:description/>
  <cp:lastModifiedBy>Gabriel Claros</cp:lastModifiedBy>
  <cp:revision/>
  <dcterms:created xsi:type="dcterms:W3CDTF">2012-11-11T14:20:48Z</dcterms:created>
  <dcterms:modified xsi:type="dcterms:W3CDTF">2025-12-10T18:08:32Z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0x010100B36E10D445F16F4CAA3022E10B7A6129</vt:lpwstr>
  </property>
  <property fmtid="{D5CDD505-2E9C-101B-9397-08002B2CF9AE}" pid="3" name="MediaServiceImageTags">
    <vt:lpwstr/>
  </property>
</Properties>
</file>